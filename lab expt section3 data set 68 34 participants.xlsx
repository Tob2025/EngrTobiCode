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2c7099617ee8b5/Desktop/MY THESIS BUILD UP/"/>
    </mc:Choice>
  </mc:AlternateContent>
  <xr:revisionPtr revIDLastSave="4" documentId="8_{9C2774DB-766B-49E8-8CD9-1C1EBB7EA4C3}" xr6:coauthVersionLast="47" xr6:coauthVersionMax="47" xr10:uidLastSave="{880116A2-A273-4D04-8E19-D72912E84094}"/>
  <bookViews>
    <workbookView xWindow="-108" yWindow="-108" windowWidth="23256" windowHeight="13896" tabRatio="500" xr2:uid="{00000000-000D-0000-FFFF-FFFF00000000}"/>
  </bookViews>
  <sheets>
    <sheet name="Raw_Data" sheetId="1" r:id="rId1"/>
    <sheet name="MLX_P" sheetId="2" r:id="rId2"/>
    <sheet name="MLX_P_AVG&amp;SD" sheetId="3" r:id="rId3"/>
    <sheet name="MLX_R" sheetId="4" r:id="rId4"/>
    <sheet name="MLX_R_AVG&amp;SD" sheetId="5" r:id="rId5"/>
    <sheet name="RS_T-10" sheetId="6" r:id="rId6"/>
    <sheet name="RS_T-10_AVG&amp;SD" sheetId="7" r:id="rId7"/>
    <sheet name="AVG_AB_TEMP_Y" sheetId="8" r:id="rId8"/>
    <sheet name="AVG_AB_TEMP_N" sheetId="16" r:id="rId9"/>
    <sheet name="AV&amp;SD@25degree_AB_T" sheetId="17" r:id="rId10"/>
    <sheet name="AV&amp;SD@16degree_AB_T" sheetId="18" r:id="rId11"/>
    <sheet name="comparison _MLX-P_MLX-R_RS-T10" sheetId="15" r:id="rId12"/>
    <sheet name="ALL ABT" sheetId="9" r:id="rId13"/>
    <sheet name="RAWDATA SORTED BY_EYEglasses" sheetId="10" r:id="rId14"/>
    <sheet name="MLX-P_WorWT_EYEglasses" sheetId="11" r:id="rId15"/>
    <sheet name="MLX-R_WorWT_EYEglasses" sheetId="12" r:id="rId16"/>
    <sheet name="RS-T10_WorWT_EYEglasses" sheetId="13" r:id="rId17"/>
    <sheet name="MLXP&amp;R_RS-T10_WorWT_EYEglasses" sheetId="14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3" l="1"/>
  <c r="E47" i="13"/>
  <c r="D47" i="13"/>
  <c r="C47" i="13"/>
  <c r="B47" i="13"/>
  <c r="F46" i="13"/>
  <c r="E46" i="13"/>
  <c r="D46" i="13"/>
  <c r="C46" i="13"/>
  <c r="B46" i="13"/>
  <c r="F45" i="13"/>
  <c r="E45" i="13"/>
  <c r="D45" i="13"/>
  <c r="C45" i="13"/>
  <c r="B45" i="13"/>
  <c r="F44" i="13"/>
  <c r="E44" i="13"/>
  <c r="D44" i="13"/>
  <c r="C44" i="13"/>
  <c r="B44" i="13"/>
  <c r="F43" i="13"/>
  <c r="E43" i="13"/>
  <c r="D43" i="13"/>
  <c r="C43" i="13"/>
  <c r="B43" i="13"/>
  <c r="F42" i="13"/>
  <c r="E42" i="13"/>
  <c r="D42" i="13"/>
  <c r="C42" i="13"/>
  <c r="B42" i="13"/>
  <c r="F41" i="13"/>
  <c r="E41" i="13"/>
  <c r="D41" i="13"/>
  <c r="C41" i="13"/>
  <c r="B41" i="13"/>
  <c r="F40" i="13"/>
  <c r="E40" i="13"/>
  <c r="D40" i="13"/>
  <c r="C40" i="13"/>
  <c r="B40" i="13"/>
  <c r="F39" i="13"/>
  <c r="E39" i="13"/>
  <c r="D39" i="13"/>
  <c r="C39" i="13"/>
  <c r="B39" i="13"/>
  <c r="F38" i="13"/>
  <c r="E38" i="13"/>
  <c r="D38" i="13"/>
  <c r="C38" i="13"/>
  <c r="B38" i="13"/>
  <c r="J37" i="13"/>
  <c r="I37" i="13"/>
  <c r="F37" i="13"/>
  <c r="E37" i="13"/>
  <c r="D37" i="13"/>
  <c r="C37" i="13"/>
  <c r="B37" i="13"/>
  <c r="J36" i="13"/>
  <c r="I36" i="13"/>
  <c r="F36" i="13"/>
  <c r="E36" i="13"/>
  <c r="D36" i="13"/>
  <c r="C36" i="13"/>
  <c r="B36" i="13"/>
  <c r="J35" i="13"/>
  <c r="I35" i="13"/>
  <c r="F35" i="13"/>
  <c r="E35" i="13"/>
  <c r="D35" i="13"/>
  <c r="C35" i="13"/>
  <c r="B35" i="13"/>
  <c r="J34" i="13"/>
  <c r="I34" i="13"/>
  <c r="F34" i="13"/>
  <c r="E34" i="13"/>
  <c r="D34" i="13"/>
  <c r="C34" i="13"/>
  <c r="B34" i="13"/>
  <c r="J33" i="13"/>
  <c r="I33" i="13"/>
  <c r="F33" i="13"/>
  <c r="E33" i="13"/>
  <c r="D33" i="13"/>
  <c r="C33" i="13"/>
  <c r="B33" i="13"/>
  <c r="F32" i="13"/>
  <c r="E32" i="13"/>
  <c r="D32" i="13"/>
  <c r="C32" i="13"/>
  <c r="B32" i="13"/>
  <c r="F31" i="13"/>
  <c r="E31" i="13"/>
  <c r="D31" i="13"/>
  <c r="C31" i="13"/>
  <c r="B31" i="13"/>
  <c r="F30" i="13"/>
  <c r="E30" i="13"/>
  <c r="D30" i="13"/>
  <c r="C30" i="13"/>
  <c r="B30" i="13"/>
  <c r="F29" i="13"/>
  <c r="E29" i="13"/>
  <c r="D29" i="13"/>
  <c r="C29" i="13"/>
  <c r="B29" i="13"/>
  <c r="F28" i="13"/>
  <c r="E28" i="13"/>
  <c r="D28" i="13"/>
  <c r="C28" i="13"/>
  <c r="B28" i="13"/>
  <c r="M27" i="13"/>
  <c r="L27" i="13"/>
  <c r="K27" i="13"/>
  <c r="J27" i="13"/>
  <c r="I27" i="13"/>
  <c r="F27" i="13"/>
  <c r="E27" i="13"/>
  <c r="D27" i="13"/>
  <c r="C27" i="13"/>
  <c r="B27" i="13"/>
  <c r="M26" i="13"/>
  <c r="L26" i="13"/>
  <c r="K26" i="13"/>
  <c r="J26" i="13"/>
  <c r="I26" i="13"/>
  <c r="F26" i="13"/>
  <c r="E26" i="13"/>
  <c r="D26" i="13"/>
  <c r="C26" i="13"/>
  <c r="B26" i="13"/>
  <c r="M25" i="13"/>
  <c r="L25" i="13"/>
  <c r="K25" i="13"/>
  <c r="J25" i="13"/>
  <c r="I25" i="13"/>
  <c r="F25" i="13"/>
  <c r="E25" i="13"/>
  <c r="D25" i="13"/>
  <c r="C25" i="13"/>
  <c r="B25" i="13"/>
  <c r="M24" i="13"/>
  <c r="L24" i="13"/>
  <c r="K24" i="13"/>
  <c r="J24" i="13"/>
  <c r="I24" i="13"/>
  <c r="F24" i="13"/>
  <c r="E24" i="13"/>
  <c r="D24" i="13"/>
  <c r="C24" i="13"/>
  <c r="B24" i="13"/>
  <c r="M23" i="13"/>
  <c r="L23" i="13"/>
  <c r="K23" i="13"/>
  <c r="J23" i="13"/>
  <c r="I23" i="13"/>
  <c r="F23" i="13"/>
  <c r="E23" i="13"/>
  <c r="D23" i="13"/>
  <c r="C23" i="13"/>
  <c r="B23" i="13"/>
  <c r="M22" i="13"/>
  <c r="L22" i="13"/>
  <c r="K22" i="13"/>
  <c r="J22" i="13"/>
  <c r="I22" i="13"/>
  <c r="F22" i="13"/>
  <c r="E22" i="13"/>
  <c r="D22" i="13"/>
  <c r="C22" i="13"/>
  <c r="B22" i="13"/>
  <c r="M21" i="13"/>
  <c r="L21" i="13"/>
  <c r="K21" i="13"/>
  <c r="J21" i="13"/>
  <c r="I21" i="13"/>
  <c r="F21" i="13"/>
  <c r="E21" i="13"/>
  <c r="D21" i="13"/>
  <c r="C21" i="13"/>
  <c r="B21" i="13"/>
  <c r="M20" i="13"/>
  <c r="L20" i="13"/>
  <c r="K20" i="13"/>
  <c r="J20" i="13"/>
  <c r="I20" i="13"/>
  <c r="F20" i="13"/>
  <c r="E20" i="13"/>
  <c r="D20" i="13"/>
  <c r="C20" i="13"/>
  <c r="B20" i="13"/>
  <c r="M19" i="13"/>
  <c r="L19" i="13"/>
  <c r="K19" i="13"/>
  <c r="J19" i="13"/>
  <c r="I19" i="13"/>
  <c r="F19" i="13"/>
  <c r="E19" i="13"/>
  <c r="D19" i="13"/>
  <c r="C19" i="13"/>
  <c r="B19" i="13"/>
  <c r="M18" i="13"/>
  <c r="L18" i="13"/>
  <c r="K18" i="13"/>
  <c r="J18" i="13"/>
  <c r="I18" i="13"/>
  <c r="F18" i="13"/>
  <c r="E18" i="13"/>
  <c r="D18" i="13"/>
  <c r="C18" i="13"/>
  <c r="B18" i="13"/>
  <c r="M17" i="13"/>
  <c r="L17" i="13"/>
  <c r="K17" i="13"/>
  <c r="J17" i="13"/>
  <c r="I17" i="13"/>
  <c r="F17" i="13"/>
  <c r="E17" i="13"/>
  <c r="D17" i="13"/>
  <c r="C17" i="13"/>
  <c r="B17" i="13"/>
  <c r="M16" i="13"/>
  <c r="L16" i="13"/>
  <c r="K16" i="13"/>
  <c r="J16" i="13"/>
  <c r="I16" i="13"/>
  <c r="F16" i="13"/>
  <c r="E16" i="13"/>
  <c r="D16" i="13"/>
  <c r="C16" i="13"/>
  <c r="B16" i="13"/>
  <c r="M15" i="13"/>
  <c r="L15" i="13"/>
  <c r="K15" i="13"/>
  <c r="J15" i="13"/>
  <c r="I15" i="13"/>
  <c r="F15" i="13"/>
  <c r="E15" i="13"/>
  <c r="D15" i="13"/>
  <c r="C15" i="13"/>
  <c r="B15" i="13"/>
  <c r="M14" i="13"/>
  <c r="L14" i="13"/>
  <c r="K14" i="13"/>
  <c r="J14" i="13"/>
  <c r="I14" i="13"/>
  <c r="F14" i="13"/>
  <c r="E14" i="13"/>
  <c r="D14" i="13"/>
  <c r="C14" i="13"/>
  <c r="B14" i="13"/>
  <c r="M13" i="13"/>
  <c r="L13" i="13"/>
  <c r="K13" i="13"/>
  <c r="J13" i="13"/>
  <c r="I13" i="13"/>
  <c r="F13" i="13"/>
  <c r="E13" i="13"/>
  <c r="D13" i="13"/>
  <c r="C13" i="13"/>
  <c r="B13" i="13"/>
  <c r="M12" i="13"/>
  <c r="L12" i="13"/>
  <c r="K12" i="13"/>
  <c r="J12" i="13"/>
  <c r="I12" i="13"/>
  <c r="F12" i="13"/>
  <c r="E12" i="13"/>
  <c r="D12" i="13"/>
  <c r="C12" i="13"/>
  <c r="B12" i="13"/>
  <c r="M11" i="13"/>
  <c r="L11" i="13"/>
  <c r="K11" i="13"/>
  <c r="J11" i="13"/>
  <c r="I11" i="13"/>
  <c r="F11" i="13"/>
  <c r="E11" i="13"/>
  <c r="D11" i="13"/>
  <c r="C11" i="13"/>
  <c r="B11" i="13"/>
  <c r="M10" i="13"/>
  <c r="L10" i="13"/>
  <c r="K10" i="13"/>
  <c r="J10" i="13"/>
  <c r="I10" i="13"/>
  <c r="F10" i="13"/>
  <c r="E10" i="13"/>
  <c r="D10" i="13"/>
  <c r="C10" i="13"/>
  <c r="B10" i="13"/>
  <c r="M9" i="13"/>
  <c r="L9" i="13"/>
  <c r="K9" i="13"/>
  <c r="J9" i="13"/>
  <c r="I9" i="13"/>
  <c r="F9" i="13"/>
  <c r="E9" i="13"/>
  <c r="D9" i="13"/>
  <c r="C9" i="13"/>
  <c r="B9" i="13"/>
  <c r="M8" i="13"/>
  <c r="L8" i="13"/>
  <c r="K8" i="13"/>
  <c r="J8" i="13"/>
  <c r="I8" i="13"/>
  <c r="F8" i="13"/>
  <c r="E8" i="13"/>
  <c r="D8" i="13"/>
  <c r="C8" i="13"/>
  <c r="B8" i="13"/>
  <c r="M7" i="13"/>
  <c r="L7" i="13"/>
  <c r="K7" i="13"/>
  <c r="J7" i="13"/>
  <c r="I7" i="13"/>
  <c r="F7" i="13"/>
  <c r="E7" i="13"/>
  <c r="D7" i="13"/>
  <c r="C7" i="13"/>
  <c r="B7" i="13"/>
  <c r="M6" i="13"/>
  <c r="L6" i="13"/>
  <c r="K6" i="13"/>
  <c r="J6" i="13"/>
  <c r="I6" i="13"/>
  <c r="F6" i="13"/>
  <c r="E6" i="13"/>
  <c r="D6" i="13"/>
  <c r="C6" i="13"/>
  <c r="B6" i="13"/>
  <c r="M5" i="13"/>
  <c r="L5" i="13"/>
  <c r="K5" i="13"/>
  <c r="J5" i="13"/>
  <c r="I5" i="13"/>
  <c r="F5" i="13"/>
  <c r="E5" i="13"/>
  <c r="D5" i="13"/>
  <c r="C5" i="13"/>
  <c r="B5" i="13"/>
  <c r="M4" i="13"/>
  <c r="L4" i="13"/>
  <c r="K4" i="13"/>
  <c r="J4" i="13"/>
  <c r="I4" i="13"/>
  <c r="F4" i="13"/>
  <c r="E4" i="13"/>
  <c r="D4" i="13"/>
  <c r="C4" i="13"/>
  <c r="B4" i="13"/>
  <c r="M3" i="13"/>
  <c r="L3" i="13"/>
  <c r="K3" i="13"/>
  <c r="J3" i="13"/>
  <c r="I3" i="13"/>
  <c r="F3" i="13"/>
  <c r="E3" i="13"/>
  <c r="D3" i="13"/>
  <c r="C3" i="13"/>
  <c r="B3" i="13"/>
  <c r="M2" i="13"/>
  <c r="L2" i="13"/>
  <c r="K2" i="13"/>
  <c r="J2" i="13"/>
  <c r="I2" i="13"/>
  <c r="F2" i="13"/>
  <c r="E2" i="13"/>
  <c r="D2" i="13"/>
  <c r="C2" i="13"/>
  <c r="B2" i="13"/>
  <c r="G47" i="12"/>
  <c r="F47" i="12"/>
  <c r="E47" i="12"/>
  <c r="D47" i="12"/>
  <c r="C47" i="12"/>
  <c r="G46" i="12"/>
  <c r="F46" i="12"/>
  <c r="E46" i="12"/>
  <c r="D46" i="12"/>
  <c r="C46" i="12"/>
  <c r="G45" i="12"/>
  <c r="F45" i="12"/>
  <c r="E45" i="12"/>
  <c r="D45" i="12"/>
  <c r="C45" i="12"/>
  <c r="G44" i="12"/>
  <c r="F44" i="12"/>
  <c r="E44" i="12"/>
  <c r="D44" i="12"/>
  <c r="C44" i="12"/>
  <c r="G43" i="12"/>
  <c r="F43" i="12"/>
  <c r="E43" i="12"/>
  <c r="D43" i="12"/>
  <c r="C43" i="12"/>
  <c r="G42" i="12"/>
  <c r="F42" i="12"/>
  <c r="E42" i="12"/>
  <c r="D42" i="12"/>
  <c r="C42" i="12"/>
  <c r="G41" i="12"/>
  <c r="F41" i="12"/>
  <c r="E41" i="12"/>
  <c r="D41" i="12"/>
  <c r="C41" i="12"/>
  <c r="G40" i="12"/>
  <c r="F40" i="12"/>
  <c r="E40" i="12"/>
  <c r="D40" i="12"/>
  <c r="C40" i="12"/>
  <c r="G39" i="12"/>
  <c r="F39" i="12"/>
  <c r="E39" i="12"/>
  <c r="D39" i="12"/>
  <c r="C39" i="12"/>
  <c r="G38" i="12"/>
  <c r="F38" i="12"/>
  <c r="E38" i="12"/>
  <c r="D38" i="12"/>
  <c r="C38" i="12"/>
  <c r="G37" i="12"/>
  <c r="F37" i="12"/>
  <c r="E37" i="12"/>
  <c r="D37" i="12"/>
  <c r="C37" i="12"/>
  <c r="L36" i="12"/>
  <c r="K36" i="12"/>
  <c r="G36" i="12"/>
  <c r="F36" i="12"/>
  <c r="E36" i="12"/>
  <c r="D36" i="12"/>
  <c r="C36" i="12"/>
  <c r="L35" i="12"/>
  <c r="K35" i="12"/>
  <c r="G35" i="12"/>
  <c r="F35" i="12"/>
  <c r="E35" i="12"/>
  <c r="D35" i="12"/>
  <c r="C35" i="12"/>
  <c r="L34" i="12"/>
  <c r="K34" i="12"/>
  <c r="G34" i="12"/>
  <c r="F34" i="12"/>
  <c r="E34" i="12"/>
  <c r="D34" i="12"/>
  <c r="C34" i="12"/>
  <c r="L33" i="12"/>
  <c r="K33" i="12"/>
  <c r="G33" i="12"/>
  <c r="F33" i="12"/>
  <c r="E33" i="12"/>
  <c r="D33" i="12"/>
  <c r="C33" i="12"/>
  <c r="L32" i="12"/>
  <c r="K32" i="12"/>
  <c r="G32" i="12"/>
  <c r="F32" i="12"/>
  <c r="E32" i="12"/>
  <c r="D32" i="12"/>
  <c r="C32" i="12"/>
  <c r="G31" i="12"/>
  <c r="F31" i="12"/>
  <c r="E31" i="12"/>
  <c r="D31" i="12"/>
  <c r="C31" i="12"/>
  <c r="G30" i="12"/>
  <c r="F30" i="12"/>
  <c r="E30" i="12"/>
  <c r="D30" i="12"/>
  <c r="C30" i="12"/>
  <c r="G29" i="12"/>
  <c r="F29" i="12"/>
  <c r="E29" i="12"/>
  <c r="D29" i="12"/>
  <c r="C29" i="12"/>
  <c r="G28" i="12"/>
  <c r="F28" i="12"/>
  <c r="E28" i="12"/>
  <c r="D28" i="12"/>
  <c r="C28" i="12"/>
  <c r="N27" i="12"/>
  <c r="M27" i="12"/>
  <c r="L27" i="12"/>
  <c r="K27" i="12"/>
  <c r="J27" i="12"/>
  <c r="G27" i="12"/>
  <c r="F27" i="12"/>
  <c r="E27" i="12"/>
  <c r="D27" i="12"/>
  <c r="C27" i="12"/>
  <c r="N26" i="12"/>
  <c r="M26" i="12"/>
  <c r="L26" i="12"/>
  <c r="K26" i="12"/>
  <c r="J26" i="12"/>
  <c r="G26" i="12"/>
  <c r="F26" i="12"/>
  <c r="E26" i="12"/>
  <c r="D26" i="12"/>
  <c r="C26" i="12"/>
  <c r="N25" i="12"/>
  <c r="M25" i="12"/>
  <c r="L25" i="12"/>
  <c r="K25" i="12"/>
  <c r="J25" i="12"/>
  <c r="G25" i="12"/>
  <c r="F25" i="12"/>
  <c r="E25" i="12"/>
  <c r="D25" i="12"/>
  <c r="C25" i="12"/>
  <c r="N24" i="12"/>
  <c r="M24" i="12"/>
  <c r="L24" i="12"/>
  <c r="K24" i="12"/>
  <c r="J24" i="12"/>
  <c r="G24" i="12"/>
  <c r="F24" i="12"/>
  <c r="E24" i="12"/>
  <c r="D24" i="12"/>
  <c r="C24" i="12"/>
  <c r="N23" i="12"/>
  <c r="M23" i="12"/>
  <c r="L23" i="12"/>
  <c r="K23" i="12"/>
  <c r="J23" i="12"/>
  <c r="G23" i="12"/>
  <c r="F23" i="12"/>
  <c r="E23" i="12"/>
  <c r="D23" i="12"/>
  <c r="C23" i="12"/>
  <c r="N22" i="12"/>
  <c r="M22" i="12"/>
  <c r="L22" i="12"/>
  <c r="K22" i="12"/>
  <c r="J22" i="12"/>
  <c r="G22" i="12"/>
  <c r="F22" i="12"/>
  <c r="E22" i="12"/>
  <c r="D22" i="12"/>
  <c r="C22" i="12"/>
  <c r="N21" i="12"/>
  <c r="M21" i="12"/>
  <c r="L21" i="12"/>
  <c r="K21" i="12"/>
  <c r="J21" i="12"/>
  <c r="G21" i="12"/>
  <c r="F21" i="12"/>
  <c r="E21" i="12"/>
  <c r="D21" i="12"/>
  <c r="C21" i="12"/>
  <c r="N20" i="12"/>
  <c r="M20" i="12"/>
  <c r="L20" i="12"/>
  <c r="K20" i="12"/>
  <c r="J20" i="12"/>
  <c r="G20" i="12"/>
  <c r="F20" i="12"/>
  <c r="E20" i="12"/>
  <c r="D20" i="12"/>
  <c r="C20" i="12"/>
  <c r="N19" i="12"/>
  <c r="M19" i="12"/>
  <c r="L19" i="12"/>
  <c r="K19" i="12"/>
  <c r="J19" i="12"/>
  <c r="G19" i="12"/>
  <c r="F19" i="12"/>
  <c r="E19" i="12"/>
  <c r="D19" i="12"/>
  <c r="C19" i="12"/>
  <c r="N18" i="12"/>
  <c r="M18" i="12"/>
  <c r="L18" i="12"/>
  <c r="K18" i="12"/>
  <c r="J18" i="12"/>
  <c r="G18" i="12"/>
  <c r="F18" i="12"/>
  <c r="E18" i="12"/>
  <c r="D18" i="12"/>
  <c r="C18" i="12"/>
  <c r="N17" i="12"/>
  <c r="M17" i="12"/>
  <c r="L17" i="12"/>
  <c r="K17" i="12"/>
  <c r="J17" i="12"/>
  <c r="G17" i="12"/>
  <c r="F17" i="12"/>
  <c r="E17" i="12"/>
  <c r="D17" i="12"/>
  <c r="C17" i="12"/>
  <c r="N16" i="12"/>
  <c r="M16" i="12"/>
  <c r="L16" i="12"/>
  <c r="K16" i="12"/>
  <c r="J16" i="12"/>
  <c r="G16" i="12"/>
  <c r="F16" i="12"/>
  <c r="E16" i="12"/>
  <c r="D16" i="12"/>
  <c r="C16" i="12"/>
  <c r="N15" i="12"/>
  <c r="M15" i="12"/>
  <c r="L15" i="12"/>
  <c r="K15" i="12"/>
  <c r="J15" i="12"/>
  <c r="G15" i="12"/>
  <c r="F15" i="12"/>
  <c r="E15" i="12"/>
  <c r="D15" i="12"/>
  <c r="C15" i="12"/>
  <c r="N14" i="12"/>
  <c r="M14" i="12"/>
  <c r="L14" i="12"/>
  <c r="K14" i="12"/>
  <c r="J14" i="12"/>
  <c r="G14" i="12"/>
  <c r="F14" i="12"/>
  <c r="E14" i="12"/>
  <c r="D14" i="12"/>
  <c r="C14" i="12"/>
  <c r="N13" i="12"/>
  <c r="M13" i="12"/>
  <c r="L13" i="12"/>
  <c r="K13" i="12"/>
  <c r="J13" i="12"/>
  <c r="G13" i="12"/>
  <c r="F13" i="12"/>
  <c r="E13" i="12"/>
  <c r="D13" i="12"/>
  <c r="C13" i="12"/>
  <c r="N12" i="12"/>
  <c r="M12" i="12"/>
  <c r="L12" i="12"/>
  <c r="K12" i="12"/>
  <c r="J12" i="12"/>
  <c r="G12" i="12"/>
  <c r="F12" i="12"/>
  <c r="E12" i="12"/>
  <c r="D12" i="12"/>
  <c r="C12" i="12"/>
  <c r="N11" i="12"/>
  <c r="M11" i="12"/>
  <c r="L11" i="12"/>
  <c r="K11" i="12"/>
  <c r="J11" i="12"/>
  <c r="G11" i="12"/>
  <c r="F11" i="12"/>
  <c r="E11" i="12"/>
  <c r="D11" i="12"/>
  <c r="C11" i="12"/>
  <c r="N10" i="12"/>
  <c r="M10" i="12"/>
  <c r="L10" i="12"/>
  <c r="K10" i="12"/>
  <c r="J10" i="12"/>
  <c r="G10" i="12"/>
  <c r="F10" i="12"/>
  <c r="E10" i="12"/>
  <c r="D10" i="12"/>
  <c r="C10" i="12"/>
  <c r="N9" i="12"/>
  <c r="M9" i="12"/>
  <c r="L9" i="12"/>
  <c r="K9" i="12"/>
  <c r="J9" i="12"/>
  <c r="G9" i="12"/>
  <c r="F9" i="12"/>
  <c r="E9" i="12"/>
  <c r="D9" i="12"/>
  <c r="C9" i="12"/>
  <c r="N8" i="12"/>
  <c r="M8" i="12"/>
  <c r="L8" i="12"/>
  <c r="K8" i="12"/>
  <c r="J8" i="12"/>
  <c r="G8" i="12"/>
  <c r="F8" i="12"/>
  <c r="E8" i="12"/>
  <c r="D8" i="12"/>
  <c r="C8" i="12"/>
  <c r="N7" i="12"/>
  <c r="M7" i="12"/>
  <c r="L7" i="12"/>
  <c r="K7" i="12"/>
  <c r="J7" i="12"/>
  <c r="G7" i="12"/>
  <c r="F7" i="12"/>
  <c r="E7" i="12"/>
  <c r="D7" i="12"/>
  <c r="C7" i="12"/>
  <c r="N6" i="12"/>
  <c r="M6" i="12"/>
  <c r="L6" i="12"/>
  <c r="K6" i="12"/>
  <c r="J6" i="12"/>
  <c r="G6" i="12"/>
  <c r="F6" i="12"/>
  <c r="E6" i="12"/>
  <c r="D6" i="12"/>
  <c r="C6" i="12"/>
  <c r="N5" i="12"/>
  <c r="M5" i="12"/>
  <c r="L5" i="12"/>
  <c r="K5" i="12"/>
  <c r="J5" i="12"/>
  <c r="G5" i="12"/>
  <c r="F5" i="12"/>
  <c r="E5" i="12"/>
  <c r="D5" i="12"/>
  <c r="C5" i="12"/>
  <c r="N4" i="12"/>
  <c r="M4" i="12"/>
  <c r="L4" i="12"/>
  <c r="K4" i="12"/>
  <c r="J4" i="12"/>
  <c r="G4" i="12"/>
  <c r="F4" i="12"/>
  <c r="E4" i="12"/>
  <c r="D4" i="12"/>
  <c r="C4" i="12"/>
  <c r="N3" i="12"/>
  <c r="M3" i="12"/>
  <c r="L3" i="12"/>
  <c r="K3" i="12"/>
  <c r="J3" i="12"/>
  <c r="G3" i="12"/>
  <c r="F3" i="12"/>
  <c r="E3" i="12"/>
  <c r="D3" i="12"/>
  <c r="C3" i="12"/>
  <c r="N2" i="12"/>
  <c r="M2" i="12"/>
  <c r="L2" i="12"/>
  <c r="K2" i="12"/>
  <c r="J2" i="12"/>
  <c r="G2" i="12"/>
  <c r="F2" i="12"/>
  <c r="E2" i="12"/>
  <c r="D2" i="12"/>
  <c r="C2" i="12"/>
  <c r="F47" i="11"/>
  <c r="E47" i="11"/>
  <c r="D47" i="11"/>
  <c r="C47" i="11"/>
  <c r="B47" i="11"/>
  <c r="F46" i="11"/>
  <c r="E46" i="11"/>
  <c r="D46" i="11"/>
  <c r="C46" i="11"/>
  <c r="B46" i="11"/>
  <c r="F45" i="11"/>
  <c r="E45" i="11"/>
  <c r="D45" i="11"/>
  <c r="C45" i="11"/>
  <c r="B45" i="11"/>
  <c r="F44" i="11"/>
  <c r="E44" i="11"/>
  <c r="D44" i="11"/>
  <c r="C44" i="11"/>
  <c r="B44" i="11"/>
  <c r="F43" i="11"/>
  <c r="E43" i="11"/>
  <c r="D43" i="11"/>
  <c r="C43" i="11"/>
  <c r="B43" i="11"/>
  <c r="F42" i="11"/>
  <c r="E42" i="11"/>
  <c r="D42" i="11"/>
  <c r="C42" i="11"/>
  <c r="B42" i="11"/>
  <c r="F41" i="11"/>
  <c r="E41" i="11"/>
  <c r="D41" i="11"/>
  <c r="C41" i="11"/>
  <c r="B41" i="11"/>
  <c r="F40" i="11"/>
  <c r="E40" i="11"/>
  <c r="D40" i="11"/>
  <c r="C40" i="11"/>
  <c r="B40" i="11"/>
  <c r="F39" i="11"/>
  <c r="E39" i="11"/>
  <c r="D39" i="11"/>
  <c r="C39" i="11"/>
  <c r="B39" i="11"/>
  <c r="M38" i="11"/>
  <c r="L38" i="11"/>
  <c r="F38" i="11"/>
  <c r="E38" i="11"/>
  <c r="D38" i="11"/>
  <c r="C38" i="11"/>
  <c r="B38" i="11"/>
  <c r="M37" i="11"/>
  <c r="L37" i="11"/>
  <c r="F37" i="11"/>
  <c r="E37" i="11"/>
  <c r="D37" i="11"/>
  <c r="C37" i="11"/>
  <c r="B37" i="11"/>
  <c r="M36" i="11"/>
  <c r="L36" i="11"/>
  <c r="F36" i="11"/>
  <c r="E36" i="11"/>
  <c r="D36" i="11"/>
  <c r="C36" i="11"/>
  <c r="B36" i="11"/>
  <c r="M35" i="11"/>
  <c r="L35" i="11"/>
  <c r="F35" i="11"/>
  <c r="E35" i="11"/>
  <c r="D35" i="11"/>
  <c r="C35" i="11"/>
  <c r="B35" i="11"/>
  <c r="M34" i="11"/>
  <c r="L34" i="11"/>
  <c r="F34" i="11"/>
  <c r="E34" i="11"/>
  <c r="D34" i="11"/>
  <c r="C34" i="11"/>
  <c r="B34" i="11"/>
  <c r="F33" i="11"/>
  <c r="E33" i="11"/>
  <c r="D33" i="11"/>
  <c r="C33" i="11"/>
  <c r="B33" i="11"/>
  <c r="F32" i="11"/>
  <c r="E32" i="11"/>
  <c r="D32" i="11"/>
  <c r="C32" i="11"/>
  <c r="B32" i="11"/>
  <c r="F31" i="11"/>
  <c r="E31" i="11"/>
  <c r="D31" i="11"/>
  <c r="C31" i="11"/>
  <c r="B31" i="11"/>
  <c r="F30" i="11"/>
  <c r="E30" i="11"/>
  <c r="D30" i="11"/>
  <c r="C30" i="11"/>
  <c r="B30" i="11"/>
  <c r="F29" i="11"/>
  <c r="E29" i="11"/>
  <c r="D29" i="11"/>
  <c r="C29" i="11"/>
  <c r="B29" i="11"/>
  <c r="F28" i="11"/>
  <c r="E28" i="11"/>
  <c r="D28" i="11"/>
  <c r="C28" i="11"/>
  <c r="B28" i="11"/>
  <c r="O27" i="11"/>
  <c r="N27" i="11"/>
  <c r="M27" i="11"/>
  <c r="L27" i="11"/>
  <c r="K27" i="11"/>
  <c r="F27" i="11"/>
  <c r="E27" i="11"/>
  <c r="D27" i="11"/>
  <c r="C27" i="11"/>
  <c r="B27" i="11"/>
  <c r="O26" i="11"/>
  <c r="N26" i="11"/>
  <c r="M26" i="11"/>
  <c r="L26" i="11"/>
  <c r="K26" i="11"/>
  <c r="F26" i="11"/>
  <c r="E26" i="11"/>
  <c r="D26" i="11"/>
  <c r="C26" i="11"/>
  <c r="B26" i="11"/>
  <c r="O25" i="11"/>
  <c r="N25" i="11"/>
  <c r="M25" i="11"/>
  <c r="L25" i="11"/>
  <c r="K25" i="11"/>
  <c r="F25" i="11"/>
  <c r="E25" i="11"/>
  <c r="D25" i="11"/>
  <c r="C25" i="11"/>
  <c r="B25" i="11"/>
  <c r="O24" i="11"/>
  <c r="N24" i="11"/>
  <c r="M24" i="11"/>
  <c r="L24" i="11"/>
  <c r="K24" i="11"/>
  <c r="F24" i="11"/>
  <c r="E24" i="11"/>
  <c r="D24" i="11"/>
  <c r="C24" i="11"/>
  <c r="B24" i="11"/>
  <c r="O23" i="11"/>
  <c r="N23" i="11"/>
  <c r="M23" i="11"/>
  <c r="L23" i="11"/>
  <c r="K23" i="11"/>
  <c r="F23" i="11"/>
  <c r="E23" i="11"/>
  <c r="D23" i="11"/>
  <c r="C23" i="11"/>
  <c r="B23" i="11"/>
  <c r="O22" i="11"/>
  <c r="N22" i="11"/>
  <c r="M22" i="11"/>
  <c r="L22" i="11"/>
  <c r="K22" i="11"/>
  <c r="F22" i="11"/>
  <c r="E22" i="11"/>
  <c r="D22" i="11"/>
  <c r="C22" i="11"/>
  <c r="B22" i="11"/>
  <c r="O21" i="11"/>
  <c r="N21" i="11"/>
  <c r="M21" i="11"/>
  <c r="L21" i="11"/>
  <c r="K21" i="11"/>
  <c r="F21" i="11"/>
  <c r="E21" i="11"/>
  <c r="D21" i="11"/>
  <c r="C21" i="11"/>
  <c r="B21" i="11"/>
  <c r="O20" i="11"/>
  <c r="N20" i="11"/>
  <c r="M20" i="11"/>
  <c r="L20" i="11"/>
  <c r="K20" i="11"/>
  <c r="F20" i="11"/>
  <c r="E20" i="11"/>
  <c r="D20" i="11"/>
  <c r="C20" i="11"/>
  <c r="B20" i="11"/>
  <c r="O19" i="11"/>
  <c r="N19" i="11"/>
  <c r="M19" i="11"/>
  <c r="L19" i="11"/>
  <c r="K19" i="11"/>
  <c r="F19" i="11"/>
  <c r="E19" i="11"/>
  <c r="D19" i="11"/>
  <c r="C19" i="11"/>
  <c r="B19" i="11"/>
  <c r="O18" i="11"/>
  <c r="N18" i="11"/>
  <c r="M18" i="11"/>
  <c r="L18" i="11"/>
  <c r="K18" i="11"/>
  <c r="F18" i="11"/>
  <c r="E18" i="11"/>
  <c r="D18" i="11"/>
  <c r="C18" i="11"/>
  <c r="B18" i="11"/>
  <c r="O17" i="11"/>
  <c r="N17" i="11"/>
  <c r="M17" i="11"/>
  <c r="L17" i="11"/>
  <c r="K17" i="11"/>
  <c r="F17" i="11"/>
  <c r="E17" i="11"/>
  <c r="D17" i="11"/>
  <c r="C17" i="11"/>
  <c r="B17" i="11"/>
  <c r="O16" i="11"/>
  <c r="N16" i="11"/>
  <c r="M16" i="11"/>
  <c r="L16" i="11"/>
  <c r="K16" i="11"/>
  <c r="F16" i="11"/>
  <c r="E16" i="11"/>
  <c r="D16" i="11"/>
  <c r="C16" i="11"/>
  <c r="B16" i="11"/>
  <c r="O15" i="11"/>
  <c r="N15" i="11"/>
  <c r="M15" i="11"/>
  <c r="L15" i="11"/>
  <c r="K15" i="11"/>
  <c r="F15" i="11"/>
  <c r="E15" i="11"/>
  <c r="D15" i="11"/>
  <c r="C15" i="11"/>
  <c r="B15" i="11"/>
  <c r="O14" i="11"/>
  <c r="N14" i="11"/>
  <c r="M14" i="11"/>
  <c r="L14" i="11"/>
  <c r="K14" i="11"/>
  <c r="F14" i="11"/>
  <c r="E14" i="11"/>
  <c r="D14" i="11"/>
  <c r="C14" i="11"/>
  <c r="B14" i="11"/>
  <c r="O13" i="11"/>
  <c r="N13" i="11"/>
  <c r="M13" i="11"/>
  <c r="L13" i="11"/>
  <c r="K13" i="11"/>
  <c r="F13" i="11"/>
  <c r="E13" i="11"/>
  <c r="D13" i="11"/>
  <c r="C13" i="11"/>
  <c r="B13" i="11"/>
  <c r="O12" i="11"/>
  <c r="N12" i="11"/>
  <c r="M12" i="11"/>
  <c r="L12" i="11"/>
  <c r="K12" i="11"/>
  <c r="F12" i="11"/>
  <c r="E12" i="11"/>
  <c r="D12" i="11"/>
  <c r="C12" i="11"/>
  <c r="B12" i="11"/>
  <c r="O11" i="11"/>
  <c r="N11" i="11"/>
  <c r="M11" i="11"/>
  <c r="L11" i="11"/>
  <c r="K11" i="11"/>
  <c r="F11" i="11"/>
  <c r="E11" i="11"/>
  <c r="D11" i="11"/>
  <c r="C11" i="11"/>
  <c r="B11" i="11"/>
  <c r="O10" i="11"/>
  <c r="N10" i="11"/>
  <c r="M10" i="11"/>
  <c r="L10" i="11"/>
  <c r="K10" i="11"/>
  <c r="F10" i="11"/>
  <c r="E10" i="11"/>
  <c r="D10" i="11"/>
  <c r="C10" i="11"/>
  <c r="B10" i="11"/>
  <c r="O9" i="11"/>
  <c r="N9" i="11"/>
  <c r="M9" i="11"/>
  <c r="L9" i="11"/>
  <c r="K9" i="11"/>
  <c r="F9" i="11"/>
  <c r="E9" i="11"/>
  <c r="D9" i="11"/>
  <c r="C9" i="11"/>
  <c r="B9" i="11"/>
  <c r="O8" i="11"/>
  <c r="N8" i="11"/>
  <c r="M8" i="11"/>
  <c r="L8" i="11"/>
  <c r="K8" i="11"/>
  <c r="F8" i="11"/>
  <c r="E8" i="11"/>
  <c r="D8" i="11"/>
  <c r="C8" i="11"/>
  <c r="B8" i="11"/>
  <c r="O7" i="11"/>
  <c r="N7" i="11"/>
  <c r="M7" i="11"/>
  <c r="L7" i="11"/>
  <c r="K7" i="11"/>
  <c r="F7" i="11"/>
  <c r="E7" i="11"/>
  <c r="D7" i="11"/>
  <c r="C7" i="11"/>
  <c r="B7" i="11"/>
  <c r="O6" i="11"/>
  <c r="N6" i="11"/>
  <c r="M6" i="11"/>
  <c r="L6" i="11"/>
  <c r="K6" i="11"/>
  <c r="F6" i="11"/>
  <c r="E6" i="11"/>
  <c r="D6" i="11"/>
  <c r="C6" i="11"/>
  <c r="B6" i="11"/>
  <c r="O5" i="11"/>
  <c r="N5" i="11"/>
  <c r="M5" i="11"/>
  <c r="L5" i="11"/>
  <c r="K5" i="11"/>
  <c r="F5" i="11"/>
  <c r="E5" i="11"/>
  <c r="D5" i="11"/>
  <c r="C5" i="11"/>
  <c r="B5" i="11"/>
  <c r="O4" i="11"/>
  <c r="N4" i="11"/>
  <c r="M4" i="11"/>
  <c r="L4" i="11"/>
  <c r="K4" i="11"/>
  <c r="F4" i="11"/>
  <c r="E4" i="11"/>
  <c r="D4" i="11"/>
  <c r="C4" i="11"/>
  <c r="B4" i="11"/>
  <c r="O3" i="11"/>
  <c r="N3" i="11"/>
  <c r="M3" i="11"/>
  <c r="L3" i="11"/>
  <c r="K3" i="11"/>
  <c r="F3" i="11"/>
  <c r="E3" i="11"/>
  <c r="D3" i="11"/>
  <c r="C3" i="11"/>
  <c r="B3" i="11"/>
  <c r="O2" i="11"/>
  <c r="N2" i="11"/>
  <c r="M2" i="11"/>
  <c r="L2" i="11"/>
  <c r="K2" i="11"/>
  <c r="F2" i="11"/>
  <c r="E2" i="11"/>
  <c r="D2" i="11"/>
  <c r="C2" i="11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S1" i="10"/>
  <c r="R1" i="10"/>
  <c r="Q1" i="10"/>
  <c r="P1" i="10"/>
  <c r="N1" i="10"/>
  <c r="M1" i="10"/>
  <c r="L1" i="10"/>
  <c r="K1" i="10"/>
  <c r="I1" i="10"/>
  <c r="H1" i="10"/>
  <c r="G1" i="10"/>
  <c r="F1" i="10"/>
  <c r="D1" i="10"/>
  <c r="C1" i="10"/>
  <c r="B1" i="10"/>
  <c r="A1" i="10"/>
  <c r="O16" i="7"/>
  <c r="N16" i="7"/>
  <c r="M16" i="7"/>
  <c r="L16" i="7"/>
  <c r="K16" i="7"/>
  <c r="J16" i="7"/>
  <c r="G16" i="7"/>
  <c r="F16" i="7"/>
  <c r="E16" i="7"/>
  <c r="D16" i="7"/>
  <c r="C16" i="7"/>
  <c r="B16" i="7"/>
  <c r="O15" i="7"/>
  <c r="N15" i="7"/>
  <c r="M15" i="7"/>
  <c r="L15" i="7"/>
  <c r="K15" i="7"/>
  <c r="J15" i="7"/>
  <c r="G15" i="7"/>
  <c r="F15" i="7"/>
  <c r="E15" i="7"/>
  <c r="D15" i="7"/>
  <c r="C15" i="7"/>
  <c r="B15" i="7"/>
  <c r="O14" i="7"/>
  <c r="N14" i="7"/>
  <c r="M14" i="7"/>
  <c r="L14" i="7"/>
  <c r="K14" i="7"/>
  <c r="J14" i="7"/>
  <c r="G14" i="7"/>
  <c r="F14" i="7"/>
  <c r="E14" i="7"/>
  <c r="D14" i="7"/>
  <c r="C14" i="7"/>
  <c r="B14" i="7"/>
  <c r="O13" i="7"/>
  <c r="N13" i="7"/>
  <c r="M13" i="7"/>
  <c r="L13" i="7"/>
  <c r="K13" i="7"/>
  <c r="J13" i="7"/>
  <c r="G13" i="7"/>
  <c r="F13" i="7"/>
  <c r="E13" i="7"/>
  <c r="D13" i="7"/>
  <c r="C13" i="7"/>
  <c r="B13" i="7"/>
  <c r="O12" i="7"/>
  <c r="N12" i="7"/>
  <c r="M12" i="7"/>
  <c r="L12" i="7"/>
  <c r="K12" i="7"/>
  <c r="J12" i="7"/>
  <c r="G12" i="7"/>
  <c r="F12" i="7"/>
  <c r="E12" i="7"/>
  <c r="D12" i="7"/>
  <c r="C12" i="7"/>
  <c r="B12" i="7"/>
  <c r="O7" i="7"/>
  <c r="N7" i="7"/>
  <c r="M7" i="7"/>
  <c r="L7" i="7"/>
  <c r="K7" i="7"/>
  <c r="J7" i="7"/>
  <c r="G7" i="7"/>
  <c r="F7" i="7"/>
  <c r="E7" i="7"/>
  <c r="D7" i="7"/>
  <c r="C7" i="7"/>
  <c r="B7" i="7"/>
  <c r="O6" i="7"/>
  <c r="N6" i="7"/>
  <c r="M6" i="7"/>
  <c r="L6" i="7"/>
  <c r="K6" i="7"/>
  <c r="J6" i="7"/>
  <c r="G6" i="7"/>
  <c r="F6" i="7"/>
  <c r="E6" i="7"/>
  <c r="D6" i="7"/>
  <c r="C6" i="7"/>
  <c r="B6" i="7"/>
  <c r="O5" i="7"/>
  <c r="N5" i="7"/>
  <c r="M5" i="7"/>
  <c r="L5" i="7"/>
  <c r="K5" i="7"/>
  <c r="J5" i="7"/>
  <c r="G5" i="7"/>
  <c r="F5" i="7"/>
  <c r="E5" i="7"/>
  <c r="D5" i="7"/>
  <c r="C5" i="7"/>
  <c r="B5" i="7"/>
  <c r="O4" i="7"/>
  <c r="N4" i="7"/>
  <c r="M4" i="7"/>
  <c r="L4" i="7"/>
  <c r="K4" i="7"/>
  <c r="J4" i="7"/>
  <c r="G4" i="7"/>
  <c r="F4" i="7"/>
  <c r="E4" i="7"/>
  <c r="D4" i="7"/>
  <c r="C4" i="7"/>
  <c r="B4" i="7"/>
  <c r="O3" i="7"/>
  <c r="N3" i="7"/>
  <c r="M3" i="7"/>
  <c r="L3" i="7"/>
  <c r="K3" i="7"/>
  <c r="J3" i="7"/>
  <c r="G3" i="7"/>
  <c r="F3" i="7"/>
  <c r="E3" i="7"/>
  <c r="D3" i="7"/>
  <c r="C3" i="7"/>
  <c r="B3" i="7"/>
  <c r="A2" i="7"/>
  <c r="H104" i="6"/>
  <c r="G104" i="6"/>
  <c r="F104" i="6"/>
  <c r="E104" i="6"/>
  <c r="D104" i="6"/>
  <c r="H103" i="6"/>
  <c r="G103" i="6"/>
  <c r="F103" i="6"/>
  <c r="E103" i="6"/>
  <c r="D103" i="6"/>
  <c r="H102" i="6"/>
  <c r="G102" i="6"/>
  <c r="F102" i="6"/>
  <c r="E102" i="6"/>
  <c r="D102" i="6"/>
  <c r="H101" i="6"/>
  <c r="G101" i="6"/>
  <c r="F101" i="6"/>
  <c r="E101" i="6"/>
  <c r="D101" i="6"/>
  <c r="H100" i="6"/>
  <c r="G100" i="6"/>
  <c r="F100" i="6"/>
  <c r="E100" i="6"/>
  <c r="D100" i="6"/>
  <c r="C100" i="6"/>
  <c r="B100" i="6"/>
  <c r="A100" i="6"/>
  <c r="H99" i="6"/>
  <c r="G99" i="6"/>
  <c r="F99" i="6"/>
  <c r="E99" i="6"/>
  <c r="D99" i="6"/>
  <c r="C99" i="6"/>
  <c r="B99" i="6"/>
  <c r="A99" i="6"/>
  <c r="H98" i="6"/>
  <c r="G98" i="6"/>
  <c r="F98" i="6"/>
  <c r="E98" i="6"/>
  <c r="D98" i="6"/>
  <c r="C98" i="6"/>
  <c r="B98" i="6"/>
  <c r="A98" i="6"/>
  <c r="H97" i="6"/>
  <c r="G97" i="6"/>
  <c r="F97" i="6"/>
  <c r="E97" i="6"/>
  <c r="D97" i="6"/>
  <c r="C97" i="6"/>
  <c r="B97" i="6"/>
  <c r="A97" i="6"/>
  <c r="H96" i="6"/>
  <c r="G96" i="6"/>
  <c r="F96" i="6"/>
  <c r="E96" i="6"/>
  <c r="D96" i="6"/>
  <c r="C96" i="6"/>
  <c r="B96" i="6"/>
  <c r="A96" i="6"/>
  <c r="H95" i="6"/>
  <c r="G95" i="6"/>
  <c r="F95" i="6"/>
  <c r="E95" i="6"/>
  <c r="D95" i="6"/>
  <c r="C95" i="6"/>
  <c r="B95" i="6"/>
  <c r="A95" i="6"/>
  <c r="H94" i="6"/>
  <c r="G94" i="6"/>
  <c r="F94" i="6"/>
  <c r="E94" i="6"/>
  <c r="D94" i="6"/>
  <c r="C94" i="6"/>
  <c r="B94" i="6"/>
  <c r="A94" i="6"/>
  <c r="H93" i="6"/>
  <c r="G93" i="6"/>
  <c r="F93" i="6"/>
  <c r="E93" i="6"/>
  <c r="D93" i="6"/>
  <c r="C93" i="6"/>
  <c r="B93" i="6"/>
  <c r="A93" i="6"/>
  <c r="H92" i="6"/>
  <c r="G92" i="6"/>
  <c r="F92" i="6"/>
  <c r="E92" i="6"/>
  <c r="D92" i="6"/>
  <c r="C92" i="6"/>
  <c r="B92" i="6"/>
  <c r="A92" i="6"/>
  <c r="H91" i="6"/>
  <c r="G91" i="6"/>
  <c r="F91" i="6"/>
  <c r="E91" i="6"/>
  <c r="D91" i="6"/>
  <c r="C91" i="6"/>
  <c r="B91" i="6"/>
  <c r="A91" i="6"/>
  <c r="H90" i="6"/>
  <c r="G90" i="6"/>
  <c r="F90" i="6"/>
  <c r="E90" i="6"/>
  <c r="D90" i="6"/>
  <c r="C90" i="6"/>
  <c r="B90" i="6"/>
  <c r="A90" i="6"/>
  <c r="H89" i="6"/>
  <c r="G89" i="6"/>
  <c r="F89" i="6"/>
  <c r="E89" i="6"/>
  <c r="D89" i="6"/>
  <c r="C89" i="6"/>
  <c r="B89" i="6"/>
  <c r="A89" i="6"/>
  <c r="H88" i="6"/>
  <c r="G88" i="6"/>
  <c r="F88" i="6"/>
  <c r="E88" i="6"/>
  <c r="D88" i="6"/>
  <c r="C88" i="6"/>
  <c r="B88" i="6"/>
  <c r="A88" i="6"/>
  <c r="H87" i="6"/>
  <c r="G87" i="6"/>
  <c r="F87" i="6"/>
  <c r="E87" i="6"/>
  <c r="D87" i="6"/>
  <c r="C87" i="6"/>
  <c r="B87" i="6"/>
  <c r="H85" i="6"/>
  <c r="G85" i="6"/>
  <c r="F85" i="6"/>
  <c r="E85" i="6"/>
  <c r="D85" i="6"/>
  <c r="H84" i="6"/>
  <c r="G84" i="6"/>
  <c r="F84" i="6"/>
  <c r="E84" i="6"/>
  <c r="D84" i="6"/>
  <c r="H83" i="6"/>
  <c r="G83" i="6"/>
  <c r="F83" i="6"/>
  <c r="E83" i="6"/>
  <c r="D83" i="6"/>
  <c r="H82" i="6"/>
  <c r="G82" i="6"/>
  <c r="F82" i="6"/>
  <c r="E82" i="6"/>
  <c r="D82" i="6"/>
  <c r="H81" i="6"/>
  <c r="G81" i="6"/>
  <c r="F81" i="6"/>
  <c r="E81" i="6"/>
  <c r="D81" i="6"/>
  <c r="C81" i="6"/>
  <c r="B81" i="6"/>
  <c r="A81" i="6"/>
  <c r="H80" i="6"/>
  <c r="G80" i="6"/>
  <c r="F80" i="6"/>
  <c r="E80" i="6"/>
  <c r="D80" i="6"/>
  <c r="C80" i="6"/>
  <c r="B80" i="6"/>
  <c r="A80" i="6"/>
  <c r="H79" i="6"/>
  <c r="G79" i="6"/>
  <c r="F79" i="6"/>
  <c r="E79" i="6"/>
  <c r="D79" i="6"/>
  <c r="C79" i="6"/>
  <c r="B79" i="6"/>
  <c r="A79" i="6"/>
  <c r="H78" i="6"/>
  <c r="G78" i="6"/>
  <c r="F78" i="6"/>
  <c r="E78" i="6"/>
  <c r="D78" i="6"/>
  <c r="C78" i="6"/>
  <c r="B78" i="6"/>
  <c r="A78" i="6"/>
  <c r="H77" i="6"/>
  <c r="G77" i="6"/>
  <c r="F77" i="6"/>
  <c r="E77" i="6"/>
  <c r="D77" i="6"/>
  <c r="C77" i="6"/>
  <c r="B77" i="6"/>
  <c r="A77" i="6"/>
  <c r="H76" i="6"/>
  <c r="G76" i="6"/>
  <c r="F76" i="6"/>
  <c r="E76" i="6"/>
  <c r="D76" i="6"/>
  <c r="C76" i="6"/>
  <c r="B76" i="6"/>
  <c r="A76" i="6"/>
  <c r="H75" i="6"/>
  <c r="G75" i="6"/>
  <c r="F75" i="6"/>
  <c r="E75" i="6"/>
  <c r="D75" i="6"/>
  <c r="C75" i="6"/>
  <c r="B75" i="6"/>
  <c r="A75" i="6"/>
  <c r="H74" i="6"/>
  <c r="G74" i="6"/>
  <c r="F74" i="6"/>
  <c r="E74" i="6"/>
  <c r="D74" i="6"/>
  <c r="C74" i="6"/>
  <c r="B74" i="6"/>
  <c r="A74" i="6"/>
  <c r="H73" i="6"/>
  <c r="G73" i="6"/>
  <c r="F73" i="6"/>
  <c r="E73" i="6"/>
  <c r="D73" i="6"/>
  <c r="C73" i="6"/>
  <c r="B73" i="6"/>
  <c r="A73" i="6"/>
  <c r="H72" i="6"/>
  <c r="G72" i="6"/>
  <c r="F72" i="6"/>
  <c r="E72" i="6"/>
  <c r="D72" i="6"/>
  <c r="C72" i="6"/>
  <c r="B72" i="6"/>
  <c r="A72" i="6"/>
  <c r="H71" i="6"/>
  <c r="G71" i="6"/>
  <c r="F71" i="6"/>
  <c r="E71" i="6"/>
  <c r="D71" i="6"/>
  <c r="C71" i="6"/>
  <c r="B71" i="6"/>
  <c r="A71" i="6"/>
  <c r="H70" i="6"/>
  <c r="G70" i="6"/>
  <c r="F70" i="6"/>
  <c r="E70" i="6"/>
  <c r="D70" i="6"/>
  <c r="C70" i="6"/>
  <c r="B70" i="6"/>
  <c r="A70" i="6"/>
  <c r="H69" i="6"/>
  <c r="G69" i="6"/>
  <c r="F69" i="6"/>
  <c r="E69" i="6"/>
  <c r="D69" i="6"/>
  <c r="C69" i="6"/>
  <c r="B69" i="6"/>
  <c r="A69" i="6"/>
  <c r="H68" i="6"/>
  <c r="G68" i="6"/>
  <c r="F68" i="6"/>
  <c r="E68" i="6"/>
  <c r="D68" i="6"/>
  <c r="C68" i="6"/>
  <c r="B68" i="6"/>
  <c r="H66" i="6"/>
  <c r="G66" i="6"/>
  <c r="F66" i="6"/>
  <c r="E66" i="6"/>
  <c r="D66" i="6"/>
  <c r="H65" i="6"/>
  <c r="G65" i="6"/>
  <c r="F65" i="6"/>
  <c r="E65" i="6"/>
  <c r="D65" i="6"/>
  <c r="H64" i="6"/>
  <c r="G64" i="6"/>
  <c r="F64" i="6"/>
  <c r="E64" i="6"/>
  <c r="D64" i="6"/>
  <c r="H63" i="6"/>
  <c r="G63" i="6"/>
  <c r="F63" i="6"/>
  <c r="E63" i="6"/>
  <c r="D63" i="6"/>
  <c r="H62" i="6"/>
  <c r="G62" i="6"/>
  <c r="F62" i="6"/>
  <c r="E62" i="6"/>
  <c r="D62" i="6"/>
  <c r="C62" i="6"/>
  <c r="B62" i="6"/>
  <c r="A62" i="6"/>
  <c r="H61" i="6"/>
  <c r="G61" i="6"/>
  <c r="F61" i="6"/>
  <c r="E61" i="6"/>
  <c r="D61" i="6"/>
  <c r="C61" i="6"/>
  <c r="B61" i="6"/>
  <c r="A61" i="6"/>
  <c r="H60" i="6"/>
  <c r="G60" i="6"/>
  <c r="F60" i="6"/>
  <c r="E60" i="6"/>
  <c r="D60" i="6"/>
  <c r="C60" i="6"/>
  <c r="B60" i="6"/>
  <c r="A60" i="6"/>
  <c r="H59" i="6"/>
  <c r="G59" i="6"/>
  <c r="F59" i="6"/>
  <c r="E59" i="6"/>
  <c r="D59" i="6"/>
  <c r="C59" i="6"/>
  <c r="B59" i="6"/>
  <c r="A59" i="6"/>
  <c r="H58" i="6"/>
  <c r="G58" i="6"/>
  <c r="F58" i="6"/>
  <c r="E58" i="6"/>
  <c r="D58" i="6"/>
  <c r="C58" i="6"/>
  <c r="B58" i="6"/>
  <c r="A58" i="6"/>
  <c r="H57" i="6"/>
  <c r="G57" i="6"/>
  <c r="F57" i="6"/>
  <c r="E57" i="6"/>
  <c r="D57" i="6"/>
  <c r="C57" i="6"/>
  <c r="B57" i="6"/>
  <c r="A57" i="6"/>
  <c r="H56" i="6"/>
  <c r="G56" i="6"/>
  <c r="F56" i="6"/>
  <c r="E56" i="6"/>
  <c r="D56" i="6"/>
  <c r="C56" i="6"/>
  <c r="B56" i="6"/>
  <c r="A56" i="6"/>
  <c r="H55" i="6"/>
  <c r="G55" i="6"/>
  <c r="F55" i="6"/>
  <c r="E55" i="6"/>
  <c r="D55" i="6"/>
  <c r="C55" i="6"/>
  <c r="B55" i="6"/>
  <c r="A55" i="6"/>
  <c r="H54" i="6"/>
  <c r="G54" i="6"/>
  <c r="F54" i="6"/>
  <c r="E54" i="6"/>
  <c r="D54" i="6"/>
  <c r="C54" i="6"/>
  <c r="B54" i="6"/>
  <c r="A54" i="6"/>
  <c r="H53" i="6"/>
  <c r="G53" i="6"/>
  <c r="F53" i="6"/>
  <c r="E53" i="6"/>
  <c r="D53" i="6"/>
  <c r="C53" i="6"/>
  <c r="B53" i="6"/>
  <c r="A53" i="6"/>
  <c r="H52" i="6"/>
  <c r="G52" i="6"/>
  <c r="F52" i="6"/>
  <c r="E52" i="6"/>
  <c r="D52" i="6"/>
  <c r="C52" i="6"/>
  <c r="B52" i="6"/>
  <c r="H50" i="6"/>
  <c r="G50" i="6"/>
  <c r="F50" i="6"/>
  <c r="E50" i="6"/>
  <c r="D50" i="6"/>
  <c r="H49" i="6"/>
  <c r="G49" i="6"/>
  <c r="F49" i="6"/>
  <c r="E49" i="6"/>
  <c r="D49" i="6"/>
  <c r="H48" i="6"/>
  <c r="G48" i="6"/>
  <c r="F48" i="6"/>
  <c r="E48" i="6"/>
  <c r="D48" i="6"/>
  <c r="H47" i="6"/>
  <c r="G47" i="6"/>
  <c r="F47" i="6"/>
  <c r="E47" i="6"/>
  <c r="D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41" i="6"/>
  <c r="G41" i="6"/>
  <c r="F41" i="6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H29" i="6"/>
  <c r="G29" i="6"/>
  <c r="F29" i="6"/>
  <c r="E29" i="6"/>
  <c r="D29" i="6"/>
  <c r="C29" i="6"/>
  <c r="B29" i="6"/>
  <c r="A29" i="6"/>
  <c r="H28" i="6"/>
  <c r="G28" i="6"/>
  <c r="F28" i="6"/>
  <c r="E28" i="6"/>
  <c r="D28" i="6"/>
  <c r="C28" i="6"/>
  <c r="B28" i="6"/>
  <c r="A28" i="6"/>
  <c r="H27" i="6"/>
  <c r="G27" i="6"/>
  <c r="F27" i="6"/>
  <c r="E27" i="6"/>
  <c r="D27" i="6"/>
  <c r="C27" i="6"/>
  <c r="B27" i="6"/>
  <c r="A27" i="6"/>
  <c r="H26" i="6"/>
  <c r="G26" i="6"/>
  <c r="F26" i="6"/>
  <c r="E26" i="6"/>
  <c r="D26" i="6"/>
  <c r="C26" i="6"/>
  <c r="B26" i="6"/>
  <c r="A26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19" i="6"/>
  <c r="G19" i="6"/>
  <c r="F19" i="6"/>
  <c r="E19" i="6"/>
  <c r="D19" i="6"/>
  <c r="H18" i="6"/>
  <c r="G18" i="6"/>
  <c r="F18" i="6"/>
  <c r="E18" i="6"/>
  <c r="D18" i="6"/>
  <c r="H17" i="6"/>
  <c r="G17" i="6"/>
  <c r="F17" i="6"/>
  <c r="E17" i="6"/>
  <c r="D17" i="6"/>
  <c r="H16" i="6"/>
  <c r="G16" i="6"/>
  <c r="F16" i="6"/>
  <c r="E16" i="6"/>
  <c r="D16" i="6"/>
  <c r="H15" i="6"/>
  <c r="G15" i="6"/>
  <c r="F15" i="6"/>
  <c r="E15" i="6"/>
  <c r="D15" i="6"/>
  <c r="C15" i="6"/>
  <c r="B15" i="6"/>
  <c r="A15" i="6"/>
  <c r="H14" i="6"/>
  <c r="G14" i="6"/>
  <c r="F14" i="6"/>
  <c r="E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H3" i="6"/>
  <c r="G3" i="6"/>
  <c r="F3" i="6"/>
  <c r="E3" i="6"/>
  <c r="D3" i="6"/>
  <c r="C3" i="6"/>
  <c r="B3" i="6"/>
  <c r="A3" i="6"/>
  <c r="H2" i="6"/>
  <c r="G2" i="6"/>
  <c r="F2" i="6"/>
  <c r="E2" i="6"/>
  <c r="D2" i="6"/>
  <c r="C2" i="6"/>
  <c r="B2" i="6"/>
  <c r="A2" i="6"/>
  <c r="O17" i="5"/>
  <c r="N17" i="5"/>
  <c r="M17" i="5"/>
  <c r="L17" i="5"/>
  <c r="K17" i="5"/>
  <c r="J17" i="5"/>
  <c r="G17" i="5"/>
  <c r="F17" i="5"/>
  <c r="E17" i="5"/>
  <c r="D17" i="5"/>
  <c r="C17" i="5"/>
  <c r="B17" i="5"/>
  <c r="O16" i="5"/>
  <c r="N16" i="5"/>
  <c r="M16" i="5"/>
  <c r="L16" i="5"/>
  <c r="K16" i="5"/>
  <c r="J16" i="5"/>
  <c r="G16" i="5"/>
  <c r="F16" i="5"/>
  <c r="E16" i="5"/>
  <c r="D16" i="5"/>
  <c r="C16" i="5"/>
  <c r="B16" i="5"/>
  <c r="O15" i="5"/>
  <c r="N15" i="5"/>
  <c r="M15" i="5"/>
  <c r="L15" i="5"/>
  <c r="K15" i="5"/>
  <c r="J15" i="5"/>
  <c r="G15" i="5"/>
  <c r="F15" i="5"/>
  <c r="E15" i="5"/>
  <c r="D15" i="5"/>
  <c r="C15" i="5"/>
  <c r="B15" i="5"/>
  <c r="O14" i="5"/>
  <c r="N14" i="5"/>
  <c r="M14" i="5"/>
  <c r="L14" i="5"/>
  <c r="K14" i="5"/>
  <c r="J14" i="5"/>
  <c r="G14" i="5"/>
  <c r="F14" i="5"/>
  <c r="E14" i="5"/>
  <c r="D14" i="5"/>
  <c r="C14" i="5"/>
  <c r="B14" i="5"/>
  <c r="O13" i="5"/>
  <c r="N13" i="5"/>
  <c r="M13" i="5"/>
  <c r="L13" i="5"/>
  <c r="K13" i="5"/>
  <c r="J13" i="5"/>
  <c r="G13" i="5"/>
  <c r="F13" i="5"/>
  <c r="E13" i="5"/>
  <c r="D13" i="5"/>
  <c r="C13" i="5"/>
  <c r="B13" i="5"/>
  <c r="O7" i="5"/>
  <c r="N7" i="5"/>
  <c r="M7" i="5"/>
  <c r="L7" i="5"/>
  <c r="K7" i="5"/>
  <c r="J7" i="5"/>
  <c r="G7" i="5"/>
  <c r="F7" i="5"/>
  <c r="E7" i="5"/>
  <c r="D7" i="5"/>
  <c r="C7" i="5"/>
  <c r="B7" i="5"/>
  <c r="O6" i="5"/>
  <c r="N6" i="5"/>
  <c r="M6" i="5"/>
  <c r="L6" i="5"/>
  <c r="K6" i="5"/>
  <c r="J6" i="5"/>
  <c r="G6" i="5"/>
  <c r="F6" i="5"/>
  <c r="E6" i="5"/>
  <c r="D6" i="5"/>
  <c r="C6" i="5"/>
  <c r="B6" i="5"/>
  <c r="O5" i="5"/>
  <c r="N5" i="5"/>
  <c r="M5" i="5"/>
  <c r="L5" i="5"/>
  <c r="K5" i="5"/>
  <c r="J5" i="5"/>
  <c r="G5" i="5"/>
  <c r="F5" i="5"/>
  <c r="E5" i="5"/>
  <c r="D5" i="5"/>
  <c r="C5" i="5"/>
  <c r="B5" i="5"/>
  <c r="O4" i="5"/>
  <c r="N4" i="5"/>
  <c r="M4" i="5"/>
  <c r="L4" i="5"/>
  <c r="K4" i="5"/>
  <c r="J4" i="5"/>
  <c r="G4" i="5"/>
  <c r="F4" i="5"/>
  <c r="E4" i="5"/>
  <c r="D4" i="5"/>
  <c r="C4" i="5"/>
  <c r="B4" i="5"/>
  <c r="O3" i="5"/>
  <c r="N3" i="5"/>
  <c r="M3" i="5"/>
  <c r="L3" i="5"/>
  <c r="K3" i="5"/>
  <c r="J3" i="5"/>
  <c r="G3" i="5"/>
  <c r="F3" i="5"/>
  <c r="E3" i="5"/>
  <c r="D3" i="5"/>
  <c r="C3" i="5"/>
  <c r="B3" i="5"/>
  <c r="A2" i="5"/>
  <c r="H104" i="4"/>
  <c r="G104" i="4"/>
  <c r="F104" i="4"/>
  <c r="E104" i="4"/>
  <c r="D104" i="4"/>
  <c r="H103" i="4"/>
  <c r="G103" i="4"/>
  <c r="F103" i="4"/>
  <c r="E103" i="4"/>
  <c r="D103" i="4"/>
  <c r="H102" i="4"/>
  <c r="G102" i="4"/>
  <c r="F102" i="4"/>
  <c r="E102" i="4"/>
  <c r="D102" i="4"/>
  <c r="H101" i="4"/>
  <c r="G101" i="4"/>
  <c r="F101" i="4"/>
  <c r="E101" i="4"/>
  <c r="D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H85" i="4"/>
  <c r="G85" i="4"/>
  <c r="F85" i="4"/>
  <c r="E85" i="4"/>
  <c r="D85" i="4"/>
  <c r="H84" i="4"/>
  <c r="G84" i="4"/>
  <c r="F84" i="4"/>
  <c r="E84" i="4"/>
  <c r="D84" i="4"/>
  <c r="H83" i="4"/>
  <c r="G83" i="4"/>
  <c r="F83" i="4"/>
  <c r="E83" i="4"/>
  <c r="D83" i="4"/>
  <c r="H82" i="4"/>
  <c r="G82" i="4"/>
  <c r="F82" i="4"/>
  <c r="E82" i="4"/>
  <c r="D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H66" i="4"/>
  <c r="G66" i="4"/>
  <c r="F66" i="4"/>
  <c r="E66" i="4"/>
  <c r="D66" i="4"/>
  <c r="H65" i="4"/>
  <c r="G65" i="4"/>
  <c r="F65" i="4"/>
  <c r="E65" i="4"/>
  <c r="D65" i="4"/>
  <c r="H64" i="4"/>
  <c r="G64" i="4"/>
  <c r="F64" i="4"/>
  <c r="E64" i="4"/>
  <c r="D64" i="4"/>
  <c r="H63" i="4"/>
  <c r="G63" i="4"/>
  <c r="F63" i="4"/>
  <c r="E63" i="4"/>
  <c r="D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H50" i="4"/>
  <c r="G50" i="4"/>
  <c r="F50" i="4"/>
  <c r="E50" i="4"/>
  <c r="D50" i="4"/>
  <c r="H49" i="4"/>
  <c r="G49" i="4"/>
  <c r="F49" i="4"/>
  <c r="E49" i="4"/>
  <c r="D49" i="4"/>
  <c r="H48" i="4"/>
  <c r="G48" i="4"/>
  <c r="F48" i="4"/>
  <c r="E48" i="4"/>
  <c r="D48" i="4"/>
  <c r="H47" i="4"/>
  <c r="G47" i="4"/>
  <c r="F47" i="4"/>
  <c r="E47" i="4"/>
  <c r="D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  <c r="O17" i="3"/>
  <c r="N17" i="3"/>
  <c r="M17" i="3"/>
  <c r="L17" i="3"/>
  <c r="K17" i="3"/>
  <c r="J17" i="3"/>
  <c r="G17" i="3"/>
  <c r="F17" i="3"/>
  <c r="E17" i="3"/>
  <c r="D17" i="3"/>
  <c r="C17" i="3"/>
  <c r="B17" i="3"/>
  <c r="O16" i="3"/>
  <c r="N16" i="3"/>
  <c r="M16" i="3"/>
  <c r="L16" i="3"/>
  <c r="K16" i="3"/>
  <c r="J16" i="3"/>
  <c r="G16" i="3"/>
  <c r="F16" i="3"/>
  <c r="E16" i="3"/>
  <c r="D16" i="3"/>
  <c r="C16" i="3"/>
  <c r="B16" i="3"/>
  <c r="O15" i="3"/>
  <c r="N15" i="3"/>
  <c r="M15" i="3"/>
  <c r="L15" i="3"/>
  <c r="K15" i="3"/>
  <c r="J15" i="3"/>
  <c r="G15" i="3"/>
  <c r="F15" i="3"/>
  <c r="E15" i="3"/>
  <c r="D15" i="3"/>
  <c r="C15" i="3"/>
  <c r="B15" i="3"/>
  <c r="O14" i="3"/>
  <c r="N14" i="3"/>
  <c r="M14" i="3"/>
  <c r="L14" i="3"/>
  <c r="K14" i="3"/>
  <c r="J14" i="3"/>
  <c r="G14" i="3"/>
  <c r="F14" i="3"/>
  <c r="E14" i="3"/>
  <c r="D14" i="3"/>
  <c r="C14" i="3"/>
  <c r="B14" i="3"/>
  <c r="O13" i="3"/>
  <c r="N13" i="3"/>
  <c r="M13" i="3"/>
  <c r="L13" i="3"/>
  <c r="K13" i="3"/>
  <c r="J13" i="3"/>
  <c r="G13" i="3"/>
  <c r="F13" i="3"/>
  <c r="E13" i="3"/>
  <c r="D13" i="3"/>
  <c r="C13" i="3"/>
  <c r="B13" i="3"/>
  <c r="O7" i="3"/>
  <c r="N7" i="3"/>
  <c r="M7" i="3"/>
  <c r="L7" i="3"/>
  <c r="K7" i="3"/>
  <c r="J7" i="3"/>
  <c r="G7" i="3"/>
  <c r="F7" i="3"/>
  <c r="E7" i="3"/>
  <c r="D7" i="3"/>
  <c r="C7" i="3"/>
  <c r="B7" i="3"/>
  <c r="O6" i="3"/>
  <c r="N6" i="3"/>
  <c r="M6" i="3"/>
  <c r="L6" i="3"/>
  <c r="K6" i="3"/>
  <c r="J6" i="3"/>
  <c r="G6" i="3"/>
  <c r="F6" i="3"/>
  <c r="E6" i="3"/>
  <c r="D6" i="3"/>
  <c r="C6" i="3"/>
  <c r="B6" i="3"/>
  <c r="O5" i="3"/>
  <c r="N5" i="3"/>
  <c r="M5" i="3"/>
  <c r="L5" i="3"/>
  <c r="K5" i="3"/>
  <c r="J5" i="3"/>
  <c r="G5" i="3"/>
  <c r="F5" i="3"/>
  <c r="E5" i="3"/>
  <c r="D5" i="3"/>
  <c r="C5" i="3"/>
  <c r="B5" i="3"/>
  <c r="O4" i="3"/>
  <c r="N4" i="3"/>
  <c r="M4" i="3"/>
  <c r="L4" i="3"/>
  <c r="K4" i="3"/>
  <c r="J4" i="3"/>
  <c r="G4" i="3"/>
  <c r="F4" i="3"/>
  <c r="E4" i="3"/>
  <c r="D4" i="3"/>
  <c r="C4" i="3"/>
  <c r="B4" i="3"/>
  <c r="O3" i="3"/>
  <c r="N3" i="3"/>
  <c r="M3" i="3"/>
  <c r="L3" i="3"/>
  <c r="K3" i="3"/>
  <c r="J3" i="3"/>
  <c r="G3" i="3"/>
  <c r="F3" i="3"/>
  <c r="E3" i="3"/>
  <c r="D3" i="3"/>
  <c r="C3" i="3"/>
  <c r="B3" i="3"/>
  <c r="A2" i="3"/>
  <c r="H104" i="2"/>
  <c r="G104" i="2"/>
  <c r="F104" i="2"/>
  <c r="E104" i="2"/>
  <c r="D104" i="2"/>
  <c r="H103" i="2"/>
  <c r="G103" i="2"/>
  <c r="F103" i="2"/>
  <c r="E103" i="2"/>
  <c r="D103" i="2"/>
  <c r="H102" i="2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H85" i="2"/>
  <c r="G85" i="2"/>
  <c r="F85" i="2"/>
  <c r="E85" i="2"/>
  <c r="D85" i="2"/>
  <c r="H84" i="2"/>
  <c r="G84" i="2"/>
  <c r="F84" i="2"/>
  <c r="E84" i="2"/>
  <c r="D84" i="2"/>
  <c r="H83" i="2"/>
  <c r="G83" i="2"/>
  <c r="F83" i="2"/>
  <c r="E83" i="2"/>
  <c r="D83" i="2"/>
  <c r="H82" i="2"/>
  <c r="G82" i="2"/>
  <c r="F82" i="2"/>
  <c r="E82" i="2"/>
  <c r="D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H66" i="2"/>
  <c r="G66" i="2"/>
  <c r="F66" i="2"/>
  <c r="E66" i="2"/>
  <c r="D66" i="2"/>
  <c r="H65" i="2"/>
  <c r="G65" i="2"/>
  <c r="F65" i="2"/>
  <c r="E65" i="2"/>
  <c r="D65" i="2"/>
  <c r="H64" i="2"/>
  <c r="G64" i="2"/>
  <c r="F64" i="2"/>
  <c r="E64" i="2"/>
  <c r="D64" i="2"/>
  <c r="H63" i="2"/>
  <c r="G63" i="2"/>
  <c r="F63" i="2"/>
  <c r="E63" i="2"/>
  <c r="D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B15" i="2"/>
  <c r="A15" i="2"/>
  <c r="H14" i="2"/>
  <c r="G14" i="2"/>
  <c r="F14" i="2"/>
  <c r="E14" i="2"/>
  <c r="D14" i="2"/>
  <c r="B14" i="2"/>
  <c r="A14" i="2"/>
  <c r="H13" i="2"/>
  <c r="G13" i="2"/>
  <c r="F13" i="2"/>
  <c r="E13" i="2"/>
  <c r="D13" i="2"/>
  <c r="B13" i="2"/>
  <c r="A13" i="2"/>
  <c r="H12" i="2"/>
  <c r="G12" i="2"/>
  <c r="F12" i="2"/>
  <c r="E12" i="2"/>
  <c r="D12" i="2"/>
  <c r="B12" i="2"/>
  <c r="A12" i="2"/>
  <c r="H11" i="2"/>
  <c r="G11" i="2"/>
  <c r="F11" i="2"/>
  <c r="E11" i="2"/>
  <c r="D11" i="2"/>
  <c r="B11" i="2"/>
  <c r="A11" i="2"/>
  <c r="H10" i="2"/>
  <c r="G10" i="2"/>
  <c r="F10" i="2"/>
  <c r="E10" i="2"/>
  <c r="D10" i="2"/>
  <c r="B10" i="2"/>
  <c r="A10" i="2"/>
  <c r="H9" i="2"/>
  <c r="G9" i="2"/>
  <c r="F9" i="2"/>
  <c r="E9" i="2"/>
  <c r="D9" i="2"/>
  <c r="B9" i="2"/>
  <c r="A9" i="2"/>
  <c r="H8" i="2"/>
  <c r="G8" i="2"/>
  <c r="F8" i="2"/>
  <c r="E8" i="2"/>
  <c r="D8" i="2"/>
  <c r="B8" i="2"/>
  <c r="A8" i="2"/>
  <c r="H7" i="2"/>
  <c r="G7" i="2"/>
  <c r="F7" i="2"/>
  <c r="E7" i="2"/>
  <c r="D7" i="2"/>
  <c r="B7" i="2"/>
  <c r="A7" i="2"/>
  <c r="H6" i="2"/>
  <c r="G6" i="2"/>
  <c r="F6" i="2"/>
  <c r="E6" i="2"/>
  <c r="D6" i="2"/>
  <c r="B6" i="2"/>
  <c r="A6" i="2"/>
  <c r="H5" i="2"/>
  <c r="G5" i="2"/>
  <c r="F5" i="2"/>
  <c r="E5" i="2"/>
  <c r="D5" i="2"/>
  <c r="B5" i="2"/>
  <c r="A5" i="2"/>
  <c r="H4" i="2"/>
  <c r="G4" i="2"/>
  <c r="F4" i="2"/>
  <c r="E4" i="2"/>
  <c r="D4" i="2"/>
  <c r="B4" i="2"/>
  <c r="A4" i="2"/>
  <c r="H3" i="2"/>
  <c r="G3" i="2"/>
  <c r="F3" i="2"/>
  <c r="E3" i="2"/>
  <c r="D3" i="2"/>
  <c r="B3" i="2"/>
  <c r="A3" i="2"/>
  <c r="H2" i="2"/>
  <c r="G2" i="2"/>
  <c r="F2" i="2"/>
  <c r="E2" i="2"/>
  <c r="D2" i="2"/>
  <c r="A2" i="2"/>
  <c r="U13" i="1"/>
  <c r="U12" i="1"/>
</calcChain>
</file>

<file path=xl/sharedStrings.xml><?xml version="1.0" encoding="utf-8"?>
<sst xmlns="http://schemas.openxmlformats.org/spreadsheetml/2006/main" count="288" uniqueCount="108">
  <si>
    <t>Camera 1 – PIMORONI</t>
  </si>
  <si>
    <t>camera2 - ROBOT SHOP</t>
  </si>
  <si>
    <t>Camera 3 - RS PRO</t>
  </si>
  <si>
    <t>ID</t>
  </si>
  <si>
    <t>glasses</t>
  </si>
  <si>
    <t>body temp</t>
  </si>
  <si>
    <t>ambient temp</t>
  </si>
  <si>
    <t>N</t>
  </si>
  <si>
    <t>Y</t>
  </si>
  <si>
    <t>1M</t>
  </si>
  <si>
    <t>2M</t>
  </si>
  <si>
    <t>3M</t>
  </si>
  <si>
    <t>4M</t>
  </si>
  <si>
    <t>5M</t>
  </si>
  <si>
    <t>AB TEMP</t>
  </si>
  <si>
    <t>BODY TEMP</t>
  </si>
  <si>
    <t>AVERAGE</t>
  </si>
  <si>
    <t>SD</t>
  </si>
  <si>
    <t>Distance</t>
  </si>
  <si>
    <t>MLX-P at 16 degrees</t>
  </si>
  <si>
    <t>MLX-P at 18 Degrees</t>
  </si>
  <si>
    <t>MLX-P at  20 degrees</t>
  </si>
  <si>
    <t>MLX-P at  22 degrees</t>
  </si>
  <si>
    <t>MLX-P at  24 degrees</t>
  </si>
  <si>
    <t>MLX-P at  25 degrees</t>
  </si>
  <si>
    <t>PIMORONI CAMERA (MLX_P)</t>
  </si>
  <si>
    <t>ROBOT SHOP CAMERA (MLX_R)</t>
  </si>
  <si>
    <t>MLX-R at 18 Degrees</t>
  </si>
  <si>
    <t>MLX-R at  20 degrees</t>
  </si>
  <si>
    <t>MLX-R at  22 degrees</t>
  </si>
  <si>
    <t>MLX-R at  24 degrees</t>
  </si>
  <si>
    <t>MLX-R at  25 degrees</t>
  </si>
  <si>
    <t>MLX-R at 16 degrees</t>
  </si>
  <si>
    <t>RS PRO T-10 CAMERA (RS-T10)</t>
  </si>
  <si>
    <t>RS-T10 at 18 Degrees</t>
  </si>
  <si>
    <t>RS-T10 at  22 degrees</t>
  </si>
  <si>
    <t>RS-T10 at  24 degrees</t>
  </si>
  <si>
    <t>RS-T10 at  25 degrees</t>
  </si>
  <si>
    <t>RS-T10 at 16 degrees</t>
  </si>
  <si>
    <t>RS-T10at  20 degrees</t>
  </si>
  <si>
    <t xml:space="preserve">MLX-P </t>
  </si>
  <si>
    <t>MLX-R</t>
  </si>
  <si>
    <t>RS-T10</t>
  </si>
  <si>
    <t>MLX-P Average reading at all distance</t>
  </si>
  <si>
    <t>WITHOUT GLASSES</t>
  </si>
  <si>
    <t>WITH GLASSES</t>
  </si>
  <si>
    <t>MLX-R WITHOUT GLASSES</t>
  </si>
  <si>
    <t>MLX-R Average reading with or without Eye-Glasses</t>
  </si>
  <si>
    <t>MLX-R WITH GLASSES</t>
  </si>
  <si>
    <t>RS-T10 WITHOUT GLASSES</t>
  </si>
  <si>
    <t>RS-T10 WITH GLASSES</t>
  </si>
  <si>
    <t>RS-T10 Average reading with or without Eye-Glasses</t>
  </si>
  <si>
    <t>MLX-Pwith eye-glasses</t>
  </si>
  <si>
    <t>MLX-Pwithout eye-glasses</t>
  </si>
  <si>
    <t>MLX-Rwith eye-glasses</t>
  </si>
  <si>
    <t>RS-T10with eye-glasses</t>
  </si>
  <si>
    <t>RS-T10without eye-glasses</t>
  </si>
  <si>
    <t>MLX-Rwithout eye-glasses</t>
  </si>
  <si>
    <t>AVERAGE_IF_EYEGLASSES_Y</t>
  </si>
  <si>
    <t>AVERAGE_IF_EYEGLASSES_N</t>
  </si>
  <si>
    <t>Average Values  for MLX-P at different ambient temp where eye-glasses is Y</t>
  </si>
  <si>
    <t>S.D Values  for MLX-P at different ambient temp where eye-glasses is Y</t>
  </si>
  <si>
    <t>Average Values  for MLX-P at different ambient temp where eye-glasses is N</t>
  </si>
  <si>
    <t>S.D Values  for MLX-P at different ambient temp where eye-glasses is N</t>
  </si>
  <si>
    <t>Average Values  for MLX-R at different ambient temp where eye-glasses is Y</t>
  </si>
  <si>
    <t>S.D Values  for MLX-R at different ambient temp where eye-glasses is Y</t>
  </si>
  <si>
    <t>Average Values  for MLX-R at different ambient temp where eye-glasses is N</t>
  </si>
  <si>
    <t>S.D Values  for MLX-R at different ambient temp where eye-glasses is N</t>
  </si>
  <si>
    <t>Average Values  for RS_T-10 at different ambient temp where eye-glasses is Y</t>
  </si>
  <si>
    <t>S.D Values  for RS_T-10 at different ambient temp where eye-glasses is Y</t>
  </si>
  <si>
    <t>Average Values  for RS_T-10 at different ambient temp where eye-glasses is N</t>
  </si>
  <si>
    <t>S.D Values  for RS_T-10 at different ambient temp where eye-glasses is N</t>
  </si>
  <si>
    <t>MLX-P at 16 Degrees Y</t>
  </si>
  <si>
    <t>MLX-P at 18 Degrees Y</t>
  </si>
  <si>
    <t>MLX-P at  20 degrees Y</t>
  </si>
  <si>
    <t>MLX-P at  22 degrees Y</t>
  </si>
  <si>
    <t>MLX-P at  24 degrees Y</t>
  </si>
  <si>
    <t>MLX-P at  25 degrees Y</t>
  </si>
  <si>
    <t>MLX-P at 16 Degrees N</t>
  </si>
  <si>
    <t>MLX-P at 18 Degrees N</t>
  </si>
  <si>
    <t>MLX-P at  20 degrees N</t>
  </si>
  <si>
    <t>MLX-P at  22 degrees N</t>
  </si>
  <si>
    <t>MLX-P at  24 degrees N</t>
  </si>
  <si>
    <t>MLX-P at  25 degrees N</t>
  </si>
  <si>
    <t>MLX-R at 16 Degrees Y</t>
  </si>
  <si>
    <t>MLX-R at 18 Degrees Y</t>
  </si>
  <si>
    <t>MLX-R at  20 degrees Y</t>
  </si>
  <si>
    <t>MLX-R at  22 degrees Y</t>
  </si>
  <si>
    <t>MLX-R at  24 degrees Y</t>
  </si>
  <si>
    <t>MLX-R at  25 degrees Y</t>
  </si>
  <si>
    <t>MLX-R at 16 Degrees N</t>
  </si>
  <si>
    <t>MLX-R at 18 Degrees N</t>
  </si>
  <si>
    <t>MLX-R at  20 degrees N</t>
  </si>
  <si>
    <t>MLX-R at  22 degrees N</t>
  </si>
  <si>
    <t>MLX-R at  24 degrees N</t>
  </si>
  <si>
    <t>MLX-R at  25 degrees N</t>
  </si>
  <si>
    <t>RS-T10 at 16 Degrees Y</t>
  </si>
  <si>
    <t>RS-T10 at 18 Degrees Y</t>
  </si>
  <si>
    <t>RS-T10 at  20 degrees Y</t>
  </si>
  <si>
    <t>RS-T10 at  22 degrees Y</t>
  </si>
  <si>
    <t>RS-T10 at  24 degrees Y</t>
  </si>
  <si>
    <t>RS-T10 at  25 degrees Y</t>
  </si>
  <si>
    <t>RS-T10 at 16 Degrees N</t>
  </si>
  <si>
    <t>RS-T10 at 18 Degrees N</t>
  </si>
  <si>
    <t>RS-T10 at  20 degrees N</t>
  </si>
  <si>
    <t>RS-T10 at  22 degrees N</t>
  </si>
  <si>
    <t>RS-T10 at  24 degrees N</t>
  </si>
  <si>
    <t>RS-T10 at  25 degrees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</si>
</sst>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Avarage Value of MLX-R at different ambient temperature where eye-glasses is 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'MLX_P_AVG&amp;SD'!$B$2</c:f>
              <c:strCache>
                <c:ptCount val="1"/>
                <c:pt idx="0">
                  <c:v>MLX-P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plus>
            <c:min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'MLX_P_AVG&amp;SD'!$B$3:$B$7</c:f>
              <c:numCache>
                <c:formatCode>General</c:formatCode>
                <c:ptCount val="5"/>
                <c:pt idx="0">
                  <c:v>29.78</c:v>
                </c:pt>
                <c:pt idx="1">
                  <c:v>26.53</c:v>
                </c:pt>
                <c:pt idx="2">
                  <c:v>24.340000000000003</c:v>
                </c:pt>
                <c:pt idx="3">
                  <c:v>23.1</c:v>
                </c:pt>
                <c:pt idx="4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B-4C25-A2F2-6FACA2C6093E}"/>
            </c:ext>
          </c:extLst>
        </c:ser>
        <c:ser>
          <c:idx val="1"/>
          <c:order val="1"/>
          <c:tx>
            <c:strRef>
              <c:f>'MLX_P_AVG&amp;SD'!$C$2</c:f>
              <c:strCache>
                <c:ptCount val="1"/>
                <c:pt idx="0">
                  <c:v>MLX-P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'MLX_P_AVG&amp;SD'!$K$3:$K$7</c:f>
                <c:numCache>
                  <c:formatCode>General</c:formatCode>
                  <c:ptCount val="5"/>
                  <c:pt idx="0">
                    <c:v>0.8286535263104029</c:v>
                  </c:pt>
                  <c:pt idx="1">
                    <c:v>0.97425184971169843</c:v>
                  </c:pt>
                  <c:pt idx="2">
                    <c:v>0.97425184971169865</c:v>
                  </c:pt>
                  <c:pt idx="3">
                    <c:v>1.3892443989449805</c:v>
                  </c:pt>
                  <c:pt idx="4">
                    <c:v>1.2284814474246917</c:v>
                  </c:pt>
                </c:numCache>
              </c:numRef>
            </c:plus>
            <c:minus>
              <c:numRef>
                <c:f>'MLX_P_AVG&amp;SD'!$K$3:$K$7</c:f>
                <c:numCache>
                  <c:formatCode>General</c:formatCode>
                  <c:ptCount val="5"/>
                  <c:pt idx="0">
                    <c:v>0.8286535263104029</c:v>
                  </c:pt>
                  <c:pt idx="1">
                    <c:v>0.97425184971169843</c:v>
                  </c:pt>
                  <c:pt idx="2">
                    <c:v>0.97425184971169865</c:v>
                  </c:pt>
                  <c:pt idx="3">
                    <c:v>1.3892443989449805</c:v>
                  </c:pt>
                  <c:pt idx="4">
                    <c:v>1.2284814474246917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'MLX_P_AVG&amp;SD'!$C$3:$C$7</c:f>
              <c:numCache>
                <c:formatCode>General</c:formatCode>
                <c:ptCount val="5"/>
                <c:pt idx="0">
                  <c:v>30.2</c:v>
                </c:pt>
                <c:pt idx="1">
                  <c:v>26.324999999999999</c:v>
                </c:pt>
                <c:pt idx="2">
                  <c:v>24.774999999999999</c:v>
                </c:pt>
                <c:pt idx="3">
                  <c:v>23.05</c:v>
                </c:pt>
                <c:pt idx="4">
                  <c:v>21.574999999999999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B-4C25-A2F2-6FACA2C6093E}"/>
            </c:ext>
          </c:extLst>
        </c:ser>
        <c:ser>
          <c:idx val="2"/>
          <c:order val="2"/>
          <c:tx>
            <c:strRef>
              <c:f>'MLX_P_AVG&amp;SD'!$D$2</c:f>
              <c:strCache>
                <c:ptCount val="1"/>
                <c:pt idx="0">
                  <c:v>MLX-P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0.57735026918962584</c:v>
                  </c:pt>
                  <c:pt idx="2">
                    <c:v>0.69999999999999929</c:v>
                  </c:pt>
                  <c:pt idx="3">
                    <c:v>0.68068592855540488</c:v>
                  </c:pt>
                  <c:pt idx="4">
                    <c:v>0.5</c:v>
                  </c:pt>
                </c:numCache>
              </c:numRef>
            </c:plus>
            <c:minus>
              <c:numRef>
                <c:f>'MLX_P_AVG&amp;SD'!$L$3:$L$7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0.57735026918962584</c:v>
                  </c:pt>
                  <c:pt idx="2">
                    <c:v>0.69999999999999929</c:v>
                  </c:pt>
                  <c:pt idx="3">
                    <c:v>0.68068592855540488</c:v>
                  </c:pt>
                  <c:pt idx="4">
                    <c:v>0.5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'MLX_P_AVG&amp;SD'!$D$3:$D$7</c:f>
              <c:numCache>
                <c:formatCode>General</c:formatCode>
                <c:ptCount val="5"/>
                <c:pt idx="0">
                  <c:v>30.733333333333334</c:v>
                </c:pt>
                <c:pt idx="1">
                  <c:v>28.333333333333332</c:v>
                </c:pt>
                <c:pt idx="2">
                  <c:v>26.5</c:v>
                </c:pt>
                <c:pt idx="3">
                  <c:v>25.033333333333331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B-4C25-A2F2-6FACA2C6093E}"/>
            </c:ext>
          </c:extLst>
        </c:ser>
        <c:ser>
          <c:idx val="3"/>
          <c:order val="3"/>
          <c:tx>
            <c:strRef>
              <c:f>'MLX_P_AVG&amp;SD'!$E$2</c:f>
              <c:strCache>
                <c:ptCount val="1"/>
                <c:pt idx="0">
                  <c:v>MLX-P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'MLX_P_AVG&amp;SD'!$M$3:$M$7</c:f>
                <c:numCache>
                  <c:formatCode>General</c:formatCode>
                  <c:ptCount val="5"/>
                  <c:pt idx="0">
                    <c:v>0.64093681435848227</c:v>
                  </c:pt>
                  <c:pt idx="1">
                    <c:v>1.123981020005824</c:v>
                  </c:pt>
                  <c:pt idx="2">
                    <c:v>1.0598742063723103</c:v>
                  </c:pt>
                  <c:pt idx="3">
                    <c:v>1.081665382639196</c:v>
                  </c:pt>
                  <c:pt idx="4">
                    <c:v>1.0692676621563635</c:v>
                  </c:pt>
                </c:numCache>
              </c:numRef>
            </c:plus>
            <c:minus>
              <c:numRef>
                <c:f>'MLX_P_AVG&amp;SD'!$M$3:$M$7</c:f>
                <c:numCache>
                  <c:formatCode>General</c:formatCode>
                  <c:ptCount val="5"/>
                  <c:pt idx="0">
                    <c:v>0.64093681435848227</c:v>
                  </c:pt>
                  <c:pt idx="1">
                    <c:v>1.123981020005824</c:v>
                  </c:pt>
                  <c:pt idx="2">
                    <c:v>1.0598742063723103</c:v>
                  </c:pt>
                  <c:pt idx="3">
                    <c:v>1.081665382639196</c:v>
                  </c:pt>
                  <c:pt idx="4">
                    <c:v>1.0692676621563635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'MLX_P_AVG&amp;SD'!$E$3:$E$7</c:f>
              <c:numCache>
                <c:formatCode>General</c:formatCode>
                <c:ptCount val="5"/>
                <c:pt idx="0">
                  <c:v>30.459999999999997</c:v>
                </c:pt>
                <c:pt idx="1">
                  <c:v>28.233333333333334</c:v>
                </c:pt>
                <c:pt idx="2">
                  <c:v>27.366666666666664</c:v>
                </c:pt>
                <c:pt idx="3">
                  <c:v>26.3</c:v>
                </c:pt>
                <c:pt idx="4">
                  <c:v>24.433333333333337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1B-4C25-A2F2-6FACA2C6093E}"/>
            </c:ext>
          </c:extLst>
        </c:ser>
        <c:ser>
          <c:idx val="4"/>
          <c:order val="4"/>
          <c:tx>
            <c:strRef>
              <c:f>'MLX_P_AVG&amp;SD'!$F$2</c:f>
              <c:strCache>
                <c:ptCount val="1"/>
                <c:pt idx="0">
                  <c:v>MLX-P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'MLX_P_AVG&amp;SD'!$N$3:$N$7</c:f>
                <c:numCache>
                  <c:formatCode>General</c:formatCode>
                  <c:ptCount val="5"/>
                  <c:pt idx="0">
                    <c:v>0.56124860801609178</c:v>
                  </c:pt>
                  <c:pt idx="1">
                    <c:v>0.77910204723129828</c:v>
                  </c:pt>
                  <c:pt idx="2">
                    <c:v>1.0261578825892239</c:v>
                  </c:pt>
                  <c:pt idx="3">
                    <c:v>0.86486993241758625</c:v>
                  </c:pt>
                  <c:pt idx="4">
                    <c:v>0.91268833672837113</c:v>
                  </c:pt>
                </c:numCache>
              </c:numRef>
            </c:plus>
            <c:minus>
              <c:numRef>
                <c:f>'MLX_P_AVG&amp;SD'!$N$3:$N$7</c:f>
                <c:numCache>
                  <c:formatCode>General</c:formatCode>
                  <c:ptCount val="5"/>
                  <c:pt idx="0">
                    <c:v>0.56124860801609178</c:v>
                  </c:pt>
                  <c:pt idx="1">
                    <c:v>0.77910204723129828</c:v>
                  </c:pt>
                  <c:pt idx="2">
                    <c:v>1.0261578825892239</c:v>
                  </c:pt>
                  <c:pt idx="3">
                    <c:v>0.86486993241758625</c:v>
                  </c:pt>
                  <c:pt idx="4">
                    <c:v>0.91268833672837113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'MLX_P_AVG&amp;SD'!$F$3:$F$7</c:f>
              <c:numCache>
                <c:formatCode>General</c:formatCode>
                <c:ptCount val="5"/>
                <c:pt idx="0">
                  <c:v>32.1</c:v>
                </c:pt>
                <c:pt idx="1">
                  <c:v>30.82</c:v>
                </c:pt>
                <c:pt idx="2">
                  <c:v>28.96</c:v>
                </c:pt>
                <c:pt idx="3">
                  <c:v>27.639999999999997</c:v>
                </c:pt>
                <c:pt idx="4">
                  <c:v>26.659999999999997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1B-4C25-A2F2-6FACA2C6093E}"/>
            </c:ext>
          </c:extLst>
        </c:ser>
        <c:ser>
          <c:idx val="5"/>
          <c:order val="5"/>
          <c:tx>
            <c:strRef>
              <c:f>'MLX_P_AVG&amp;SD'!$G$2</c:f>
              <c:strCache>
                <c:ptCount val="1"/>
                <c:pt idx="0">
                  <c:v>MLX-P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plus>
            <c:min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'MLX_P_AVG&amp;SD'!$G$3:$G$7</c:f>
              <c:numCache>
                <c:formatCode>General</c:formatCode>
                <c:ptCount val="5"/>
                <c:pt idx="0">
                  <c:v>31.775000000000002</c:v>
                </c:pt>
                <c:pt idx="1">
                  <c:v>29.9</c:v>
                </c:pt>
                <c:pt idx="2">
                  <c:v>29.099999999999998</c:v>
                </c:pt>
                <c:pt idx="3">
                  <c:v>28.324999999999999</c:v>
                </c:pt>
                <c:pt idx="4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1B-4C25-A2F2-6FACA2C6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999576"/>
        <c:axId val="808995616"/>
      </c:lineChart>
      <c:catAx>
        <c:axId val="80899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95616"/>
        <c:crosses val="autoZero"/>
        <c:auto val="1"/>
        <c:lblAlgn val="ctr"/>
        <c:lblOffset val="100"/>
        <c:noMultiLvlLbl val="0"/>
      </c:catAx>
      <c:valAx>
        <c:axId val="8089956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9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Values  for MLX-P at different ambient temp where eye-glasses is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55405385203E-2"/>
          <c:y val="7.7747242576880454E-2"/>
          <c:w val="0.82779840610670152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'MLX_P_AVG&amp;SD'!$B$12</c:f>
              <c:strCache>
                <c:ptCount val="1"/>
                <c:pt idx="0">
                  <c:v>MLX-P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'MLX_P_AVG&amp;SD'!$J$13:$J$17</c:f>
                <c:numCache>
                  <c:formatCode>General</c:formatCode>
                  <c:ptCount val="5"/>
                  <c:pt idx="0">
                    <c:v>0.44077853201547185</c:v>
                  </c:pt>
                  <c:pt idx="1">
                    <c:v>1.8524346913492755</c:v>
                  </c:pt>
                  <c:pt idx="2">
                    <c:v>0.87952909478392394</c:v>
                  </c:pt>
                  <c:pt idx="3">
                    <c:v>0.58665516763622438</c:v>
                  </c:pt>
                  <c:pt idx="4">
                    <c:v>0.50691644845505412</c:v>
                  </c:pt>
                </c:numCache>
              </c:numRef>
            </c:plus>
            <c:minus>
              <c:numRef>
                <c:f>'MLX_P_AVG&amp;SD'!$J$13:$J$17</c:f>
                <c:numCache>
                  <c:formatCode>General</c:formatCode>
                  <c:ptCount val="5"/>
                  <c:pt idx="0">
                    <c:v>0.44077853201547185</c:v>
                  </c:pt>
                  <c:pt idx="1">
                    <c:v>1.8524346913492755</c:v>
                  </c:pt>
                  <c:pt idx="2">
                    <c:v>0.87952909478392394</c:v>
                  </c:pt>
                  <c:pt idx="3">
                    <c:v>0.58665516763622438</c:v>
                  </c:pt>
                  <c:pt idx="4">
                    <c:v>0.50691644845505412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'MLX_P_AVG&amp;SD'!$B$13:$B$17</c:f>
              <c:numCache>
                <c:formatCode>General</c:formatCode>
                <c:ptCount val="5"/>
                <c:pt idx="0">
                  <c:v>30.2</c:v>
                </c:pt>
                <c:pt idx="1">
                  <c:v>26.764999999999997</c:v>
                </c:pt>
                <c:pt idx="2">
                  <c:v>24.325000000000003</c:v>
                </c:pt>
                <c:pt idx="3">
                  <c:v>23.0825</c:v>
                </c:pt>
                <c:pt idx="4">
                  <c:v>21.837499999999999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5-4859-8FD8-A56390E7F10B}"/>
            </c:ext>
          </c:extLst>
        </c:ser>
        <c:ser>
          <c:idx val="1"/>
          <c:order val="1"/>
          <c:tx>
            <c:strRef>
              <c:f>'MLX_P_AVG&amp;SD'!$C$12</c:f>
              <c:strCache>
                <c:ptCount val="1"/>
                <c:pt idx="0">
                  <c:v>MLX-P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'MLX_P_AVG&amp;SD'!$K$13:$K$17</c:f>
                <c:numCache>
                  <c:formatCode>General</c:formatCode>
                  <c:ptCount val="5"/>
                  <c:pt idx="0">
                    <c:v>0.63770421565696755</c:v>
                  </c:pt>
                  <c:pt idx="1">
                    <c:v>0.87259874594716902</c:v>
                  </c:pt>
                  <c:pt idx="2">
                    <c:v>0.75435245015020613</c:v>
                  </c:pt>
                  <c:pt idx="3">
                    <c:v>1.0792413561210046</c:v>
                  </c:pt>
                  <c:pt idx="4">
                    <c:v>1.1324226032630014</c:v>
                  </c:pt>
                </c:numCache>
              </c:numRef>
            </c:plus>
            <c:minus>
              <c:numRef>
                <c:f>'MLX_P_AVG&amp;SD'!$K$13:$K$17</c:f>
                <c:numCache>
                  <c:formatCode>General</c:formatCode>
                  <c:ptCount val="5"/>
                  <c:pt idx="0">
                    <c:v>0.63770421565696755</c:v>
                  </c:pt>
                  <c:pt idx="1">
                    <c:v>0.87259874594716902</c:v>
                  </c:pt>
                  <c:pt idx="2">
                    <c:v>0.75435245015020613</c:v>
                  </c:pt>
                  <c:pt idx="3">
                    <c:v>1.0792413561210046</c:v>
                  </c:pt>
                  <c:pt idx="4">
                    <c:v>1.1324226032630014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'MLX_P_AVG&amp;SD'!$C$13:$C$17</c:f>
              <c:numCache>
                <c:formatCode>General</c:formatCode>
                <c:ptCount val="5"/>
                <c:pt idx="0">
                  <c:v>30.599999999999998</c:v>
                </c:pt>
                <c:pt idx="1">
                  <c:v>26.785714285714288</c:v>
                </c:pt>
                <c:pt idx="2">
                  <c:v>24.928571428571427</c:v>
                </c:pt>
                <c:pt idx="3">
                  <c:v>23.414285714285715</c:v>
                </c:pt>
                <c:pt idx="4">
                  <c:v>22.271428571428572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15-4859-8FD8-A56390E7F10B}"/>
            </c:ext>
          </c:extLst>
        </c:ser>
        <c:ser>
          <c:idx val="2"/>
          <c:order val="2"/>
          <c:tx>
            <c:strRef>
              <c:f>'MLX_P_AVG&amp;SD'!$D$12</c:f>
              <c:strCache>
                <c:ptCount val="1"/>
                <c:pt idx="0">
                  <c:v>MLX-P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'MLX_P_AVG&amp;SD'!$L$13:$L$17</c:f>
                <c:numCache>
                  <c:formatCode>General</c:formatCode>
                  <c:ptCount val="5"/>
                  <c:pt idx="0">
                    <c:v>0.47644516998286329</c:v>
                  </c:pt>
                  <c:pt idx="1">
                    <c:v>1.0686440005914037</c:v>
                  </c:pt>
                  <c:pt idx="2">
                    <c:v>0.81670067956381676</c:v>
                  </c:pt>
                  <c:pt idx="3">
                    <c:v>0.59329587896765279</c:v>
                  </c:pt>
                  <c:pt idx="4">
                    <c:v>0.396232255123179</c:v>
                  </c:pt>
                </c:numCache>
              </c:numRef>
            </c:plus>
            <c:minus>
              <c:numRef>
                <c:f>'MLX_P_AVG&amp;SD'!$L$13:$L$17</c:f>
                <c:numCache>
                  <c:formatCode>General</c:formatCode>
                  <c:ptCount val="5"/>
                  <c:pt idx="0">
                    <c:v>0.47644516998286329</c:v>
                  </c:pt>
                  <c:pt idx="1">
                    <c:v>1.0686440005914037</c:v>
                  </c:pt>
                  <c:pt idx="2">
                    <c:v>0.81670067956381676</c:v>
                  </c:pt>
                  <c:pt idx="3">
                    <c:v>0.59329587896765279</c:v>
                  </c:pt>
                  <c:pt idx="4">
                    <c:v>0.396232255123179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'MLX_P_AVG&amp;SD'!$D$13:$D$17</c:f>
              <c:numCache>
                <c:formatCode>General</c:formatCode>
                <c:ptCount val="5"/>
                <c:pt idx="0">
                  <c:v>30.919999999999998</c:v>
                </c:pt>
                <c:pt idx="1">
                  <c:v>28.02</c:v>
                </c:pt>
                <c:pt idx="2">
                  <c:v>26.32</c:v>
                </c:pt>
                <c:pt idx="3">
                  <c:v>25.02</c:v>
                </c:pt>
                <c:pt idx="4">
                  <c:v>23.02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15-4859-8FD8-A56390E7F10B}"/>
            </c:ext>
          </c:extLst>
        </c:ser>
        <c:ser>
          <c:idx val="3"/>
          <c:order val="3"/>
          <c:tx>
            <c:strRef>
              <c:f>'MLX_P_AVG&amp;SD'!$E$12</c:f>
              <c:strCache>
                <c:ptCount val="1"/>
                <c:pt idx="0">
                  <c:v>MLX-P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'MLX_P_AVG&amp;SD'!$M$13:$M$17</c:f>
                <c:numCache>
                  <c:formatCode>General</c:formatCode>
                  <c:ptCount val="5"/>
                  <c:pt idx="0">
                    <c:v>0.44588862585478278</c:v>
                  </c:pt>
                  <c:pt idx="1">
                    <c:v>0.8795832346439233</c:v>
                  </c:pt>
                  <c:pt idx="2">
                    <c:v>0.48166378315169145</c:v>
                  </c:pt>
                  <c:pt idx="3">
                    <c:v>0.51251016250086856</c:v>
                  </c:pt>
                  <c:pt idx="4">
                    <c:v>0.41190613817551547</c:v>
                  </c:pt>
                </c:numCache>
              </c:numRef>
            </c:plus>
            <c:minus>
              <c:numRef>
                <c:f>'MLX_P_AVG&amp;SD'!$M$13:$M$17</c:f>
                <c:numCache>
                  <c:formatCode>General</c:formatCode>
                  <c:ptCount val="5"/>
                  <c:pt idx="0">
                    <c:v>0.44588862585478278</c:v>
                  </c:pt>
                  <c:pt idx="1">
                    <c:v>0.8795832346439233</c:v>
                  </c:pt>
                  <c:pt idx="2">
                    <c:v>0.48166378315169145</c:v>
                  </c:pt>
                  <c:pt idx="3">
                    <c:v>0.51251016250086856</c:v>
                  </c:pt>
                  <c:pt idx="4">
                    <c:v>0.41190613817551547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'MLX_P_AVG&amp;SD'!$E$13:$E$17</c:f>
              <c:numCache>
                <c:formatCode>General</c:formatCode>
                <c:ptCount val="5"/>
                <c:pt idx="0">
                  <c:v>31.098571428571429</c:v>
                </c:pt>
                <c:pt idx="1">
                  <c:v>28.185714285714287</c:v>
                </c:pt>
                <c:pt idx="2">
                  <c:v>27.000000000000004</c:v>
                </c:pt>
                <c:pt idx="3">
                  <c:v>26.157142857142855</c:v>
                </c:pt>
                <c:pt idx="4">
                  <c:v>24.271428571428572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15-4859-8FD8-A56390E7F10B}"/>
            </c:ext>
          </c:extLst>
        </c:ser>
        <c:ser>
          <c:idx val="4"/>
          <c:order val="4"/>
          <c:tx>
            <c:strRef>
              <c:f>'MLX_P_AVG&amp;SD'!$F$12</c:f>
              <c:strCache>
                <c:ptCount val="1"/>
                <c:pt idx="0">
                  <c:v>MLX-P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'MLX_P_AVG&amp;SD'!$N$13:$N$17</c:f>
                <c:numCache>
                  <c:formatCode>General</c:formatCode>
                  <c:ptCount val="5"/>
                  <c:pt idx="0">
                    <c:v>0.72899147555274624</c:v>
                  </c:pt>
                  <c:pt idx="1">
                    <c:v>0.74976186695700775</c:v>
                  </c:pt>
                  <c:pt idx="2">
                    <c:v>0.93874916777592987</c:v>
                  </c:pt>
                  <c:pt idx="3">
                    <c:v>0.68959097607619146</c:v>
                  </c:pt>
                  <c:pt idx="4">
                    <c:v>0.63005101834239241</c:v>
                  </c:pt>
                </c:numCache>
              </c:numRef>
            </c:plus>
            <c:minus>
              <c:numRef>
                <c:f>'MLX_P_AVG&amp;SD'!$N$13:$N$17</c:f>
                <c:numCache>
                  <c:formatCode>General</c:formatCode>
                  <c:ptCount val="5"/>
                  <c:pt idx="0">
                    <c:v>0.72899147555274624</c:v>
                  </c:pt>
                  <c:pt idx="1">
                    <c:v>0.74976186695700775</c:v>
                  </c:pt>
                  <c:pt idx="2">
                    <c:v>0.93874916777592987</c:v>
                  </c:pt>
                  <c:pt idx="3">
                    <c:v>0.68959097607619146</c:v>
                  </c:pt>
                  <c:pt idx="4">
                    <c:v>0.63005101834239241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'MLX_P_AVG&amp;SD'!$F$13:$F$17</c:f>
              <c:numCache>
                <c:formatCode>General</c:formatCode>
                <c:ptCount val="5"/>
                <c:pt idx="0">
                  <c:v>32.75</c:v>
                </c:pt>
                <c:pt idx="1">
                  <c:v>31.074999999999999</c:v>
                </c:pt>
                <c:pt idx="2">
                  <c:v>29.212500000000002</c:v>
                </c:pt>
                <c:pt idx="3">
                  <c:v>27.787500000000001</c:v>
                </c:pt>
                <c:pt idx="4">
                  <c:v>26.9375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15-4859-8FD8-A56390E7F10B}"/>
            </c:ext>
          </c:extLst>
        </c:ser>
        <c:ser>
          <c:idx val="5"/>
          <c:order val="5"/>
          <c:tx>
            <c:strRef>
              <c:f>'MLX_P_AVG&amp;SD'!$G$12</c:f>
              <c:strCache>
                <c:ptCount val="1"/>
                <c:pt idx="0">
                  <c:v>MLX-P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plus>
            <c:min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'MLX_P_AVG&amp;SD'!$G$13:$G$17</c:f>
              <c:numCache>
                <c:formatCode>General</c:formatCode>
                <c:ptCount val="5"/>
                <c:pt idx="0">
                  <c:v>32.4</c:v>
                </c:pt>
                <c:pt idx="1">
                  <c:v>30.56666666666667</c:v>
                </c:pt>
                <c:pt idx="2">
                  <c:v>29.455555555555552</c:v>
                </c:pt>
                <c:pt idx="3">
                  <c:v>28.611111111111111</c:v>
                </c:pt>
                <c:pt idx="4">
                  <c:v>27.599999999999994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15-4859-8FD8-A56390E7F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70488"/>
        <c:axId val="800172648"/>
      </c:lineChart>
      <c:catAx>
        <c:axId val="800170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72648"/>
        <c:crosses val="autoZero"/>
        <c:auto val="1"/>
        <c:lblAlgn val="ctr"/>
        <c:lblOffset val="100"/>
        <c:noMultiLvlLbl val="0"/>
      </c:catAx>
      <c:valAx>
        <c:axId val="80017264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7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Avarage Value of MLX-R at different ambient temperature where eye-glasses is 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'MLX_R_AVG&amp;SD'!$B$2</c:f>
              <c:strCache>
                <c:ptCount val="1"/>
                <c:pt idx="0">
                  <c:v>MLX-R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'MLX_R_AVG&amp;SD'!$J$3:$J$7</c:f>
                <c:numCache>
                  <c:formatCode>General</c:formatCode>
                  <c:ptCount val="5"/>
                  <c:pt idx="0">
                    <c:v>0.79686887252546112</c:v>
                  </c:pt>
                  <c:pt idx="1">
                    <c:v>1.2942179105544787</c:v>
                  </c:pt>
                  <c:pt idx="2">
                    <c:v>0.77781745930520174</c:v>
                  </c:pt>
                  <c:pt idx="3">
                    <c:v>0.54772255750516607</c:v>
                  </c:pt>
                  <c:pt idx="4">
                    <c:v>0.49799598391954947</c:v>
                  </c:pt>
                </c:numCache>
              </c:numRef>
            </c:plus>
            <c:minus>
              <c:numRef>
                <c:f>'MLX_R_AVG&amp;SD'!$J$3:$J$7</c:f>
                <c:numCache>
                  <c:formatCode>General</c:formatCode>
                  <c:ptCount val="5"/>
                  <c:pt idx="0">
                    <c:v>0.79686887252546112</c:v>
                  </c:pt>
                  <c:pt idx="1">
                    <c:v>1.2942179105544787</c:v>
                  </c:pt>
                  <c:pt idx="2">
                    <c:v>0.77781745930520174</c:v>
                  </c:pt>
                  <c:pt idx="3">
                    <c:v>0.54772255750516607</c:v>
                  </c:pt>
                  <c:pt idx="4">
                    <c:v>0.49799598391954947</c:v>
                  </c:pt>
                </c:numCache>
              </c:numRef>
            </c:minus>
            <c:spPr>
              <a:noFill/>
              <a:ln w="34925" cap="flat" cmpd="sng" algn="ctr">
                <a:solidFill>
                  <a:srgbClr val="002060"/>
                </a:solidFill>
                <a:round/>
              </a:ln>
              <a:effectLst/>
            </c:spPr>
          </c:errBars>
          <c:val>
            <c:numRef>
              <c:f>'MLX_R_AVG&amp;SD'!$B$3:$B$7</c:f>
              <c:numCache>
                <c:formatCode>General</c:formatCode>
                <c:ptCount val="5"/>
                <c:pt idx="0">
                  <c:v>30.2</c:v>
                </c:pt>
                <c:pt idx="1">
                  <c:v>27.1</c:v>
                </c:pt>
                <c:pt idx="2">
                  <c:v>24.6</c:v>
                </c:pt>
                <c:pt idx="3">
                  <c:v>23.1</c:v>
                </c:pt>
                <c:pt idx="4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E-4351-841C-55F020442A1B}"/>
            </c:ext>
          </c:extLst>
        </c:ser>
        <c:ser>
          <c:idx val="1"/>
          <c:order val="1"/>
          <c:tx>
            <c:strRef>
              <c:f>'MLX_R_AVG&amp;SD'!$C$2</c:f>
              <c:strCache>
                <c:ptCount val="1"/>
                <c:pt idx="0">
                  <c:v>MLX-R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'MLX_R_AVG&amp;SD'!$K$3:$K$7</c:f>
                <c:numCache>
                  <c:formatCode>General</c:formatCode>
                  <c:ptCount val="5"/>
                  <c:pt idx="0">
                    <c:v>0.37749172176353679</c:v>
                  </c:pt>
                  <c:pt idx="1">
                    <c:v>0.88835053141576181</c:v>
                  </c:pt>
                  <c:pt idx="2">
                    <c:v>1.00124921972504</c:v>
                  </c:pt>
                  <c:pt idx="3">
                    <c:v>1.3820274961085253</c:v>
                  </c:pt>
                  <c:pt idx="4">
                    <c:v>1.6842406795546379</c:v>
                  </c:pt>
                </c:numCache>
              </c:numRef>
            </c:plus>
            <c:minus>
              <c:numRef>
                <c:f>'MLX_R_AVG&amp;SD'!$K$3:$K$7</c:f>
                <c:numCache>
                  <c:formatCode>General</c:formatCode>
                  <c:ptCount val="5"/>
                  <c:pt idx="0">
                    <c:v>0.37749172176353679</c:v>
                  </c:pt>
                  <c:pt idx="1">
                    <c:v>0.88835053141576181</c:v>
                  </c:pt>
                  <c:pt idx="2">
                    <c:v>1.00124921972504</c:v>
                  </c:pt>
                  <c:pt idx="3">
                    <c:v>1.3820274961085253</c:v>
                  </c:pt>
                  <c:pt idx="4">
                    <c:v>1.6842406795546379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'MLX_R_AVG&amp;SD'!$C$3:$C$7</c:f>
              <c:numCache>
                <c:formatCode>General</c:formatCode>
                <c:ptCount val="5"/>
                <c:pt idx="0">
                  <c:v>30.925000000000001</c:v>
                </c:pt>
                <c:pt idx="1">
                  <c:v>26.824999999999999</c:v>
                </c:pt>
                <c:pt idx="2">
                  <c:v>25.225000000000001</c:v>
                </c:pt>
                <c:pt idx="3">
                  <c:v>23.55</c:v>
                </c:pt>
                <c:pt idx="4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E-4351-841C-55F020442A1B}"/>
            </c:ext>
          </c:extLst>
        </c:ser>
        <c:ser>
          <c:idx val="2"/>
          <c:order val="2"/>
          <c:tx>
            <c:strRef>
              <c:f>'MLX_R_AVG&amp;SD'!$D$2</c:f>
              <c:strCache>
                <c:ptCount val="1"/>
                <c:pt idx="0">
                  <c:v>MLX-R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'MLX_R_AVG&amp;SD'!$L$3:$L$7</c:f>
                <c:numCache>
                  <c:formatCode>General</c:formatCode>
                  <c:ptCount val="5"/>
                  <c:pt idx="0">
                    <c:v>0.19999999999999929</c:v>
                  </c:pt>
                  <c:pt idx="1">
                    <c:v>0.96436507609929578</c:v>
                  </c:pt>
                  <c:pt idx="2">
                    <c:v>0.43588989435406744</c:v>
                  </c:pt>
                  <c:pt idx="3">
                    <c:v>0.65064070986477152</c:v>
                  </c:pt>
                  <c:pt idx="4">
                    <c:v>0.28867513459481292</c:v>
                  </c:pt>
                </c:numCache>
              </c:numRef>
            </c:plus>
            <c:minus>
              <c:numRef>
                <c:f>'MLX_R_AVG&amp;SD'!$L$3:$L$7</c:f>
                <c:numCache>
                  <c:formatCode>General</c:formatCode>
                  <c:ptCount val="5"/>
                  <c:pt idx="0">
                    <c:v>0.19999999999999929</c:v>
                  </c:pt>
                  <c:pt idx="1">
                    <c:v>0.96436507609929578</c:v>
                  </c:pt>
                  <c:pt idx="2">
                    <c:v>0.43588989435406744</c:v>
                  </c:pt>
                  <c:pt idx="3">
                    <c:v>0.65064070986477152</c:v>
                  </c:pt>
                  <c:pt idx="4">
                    <c:v>0.28867513459481292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'MLX_R_AVG&amp;SD'!$D$3:$D$7</c:f>
              <c:numCache>
                <c:formatCode>General</c:formatCode>
                <c:ptCount val="5"/>
                <c:pt idx="0">
                  <c:v>31.5</c:v>
                </c:pt>
                <c:pt idx="1">
                  <c:v>29.099999999999998</c:v>
                </c:pt>
                <c:pt idx="2">
                  <c:v>27.2</c:v>
                </c:pt>
                <c:pt idx="3">
                  <c:v>25.833333333333332</c:v>
                </c:pt>
                <c:pt idx="4">
                  <c:v>22.833333333333332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E-4351-841C-55F020442A1B}"/>
            </c:ext>
          </c:extLst>
        </c:ser>
        <c:ser>
          <c:idx val="3"/>
          <c:order val="3"/>
          <c:tx>
            <c:strRef>
              <c:f>'MLX_R_AVG&amp;SD'!$E$2</c:f>
              <c:strCache>
                <c:ptCount val="1"/>
                <c:pt idx="0">
                  <c:v>MLX-R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'MLX_R_AVG&amp;SD'!$M$3:$M$7</c:f>
                <c:numCache>
                  <c:formatCode>General</c:formatCode>
                  <c:ptCount val="5"/>
                  <c:pt idx="0">
                    <c:v>0.35118845842842422</c:v>
                  </c:pt>
                  <c:pt idx="1">
                    <c:v>1.2055427546683408</c:v>
                  </c:pt>
                  <c:pt idx="2">
                    <c:v>0.90184995056457917</c:v>
                  </c:pt>
                  <c:pt idx="3">
                    <c:v>0.90184995056457917</c:v>
                  </c:pt>
                  <c:pt idx="4">
                    <c:v>0.96436507609929578</c:v>
                  </c:pt>
                </c:numCache>
              </c:numRef>
            </c:plus>
            <c:minus>
              <c:numRef>
                <c:f>'MLX_R_AVG&amp;SD'!$M$3:$M$7</c:f>
                <c:numCache>
                  <c:formatCode>General</c:formatCode>
                  <c:ptCount val="5"/>
                  <c:pt idx="0">
                    <c:v>0.35118845842842422</c:v>
                  </c:pt>
                  <c:pt idx="1">
                    <c:v>1.2055427546683408</c:v>
                  </c:pt>
                  <c:pt idx="2">
                    <c:v>0.90184995056457917</c:v>
                  </c:pt>
                  <c:pt idx="3">
                    <c:v>0.90184995056457917</c:v>
                  </c:pt>
                  <c:pt idx="4">
                    <c:v>0.96436507609929578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'MLX_R_AVG&amp;SD'!$E$3:$E$7</c:f>
              <c:numCache>
                <c:formatCode>General</c:formatCode>
                <c:ptCount val="5"/>
                <c:pt idx="0">
                  <c:v>31.466666666666669</c:v>
                </c:pt>
                <c:pt idx="1">
                  <c:v>28.933333333333334</c:v>
                </c:pt>
                <c:pt idx="2">
                  <c:v>27.866666666666664</c:v>
                </c:pt>
                <c:pt idx="3">
                  <c:v>27.133333333333336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BE-4351-841C-55F020442A1B}"/>
            </c:ext>
          </c:extLst>
        </c:ser>
        <c:ser>
          <c:idx val="4"/>
          <c:order val="4"/>
          <c:tx>
            <c:strRef>
              <c:f>'MLX_R_AVG&amp;SD'!$F$2</c:f>
              <c:strCache>
                <c:ptCount val="1"/>
                <c:pt idx="0">
                  <c:v>MLX-R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'MLX_R_AVG&amp;SD'!$N$3:$N$7</c:f>
                <c:numCache>
                  <c:formatCode>General</c:formatCode>
                  <c:ptCount val="5"/>
                  <c:pt idx="0">
                    <c:v>0.39623225512317889</c:v>
                  </c:pt>
                  <c:pt idx="1">
                    <c:v>1.0449880382090511</c:v>
                  </c:pt>
                  <c:pt idx="2">
                    <c:v>0.87578536183245204</c:v>
                  </c:pt>
                  <c:pt idx="3">
                    <c:v>0.4636809247747849</c:v>
                  </c:pt>
                  <c:pt idx="4">
                    <c:v>0.87578536183245326</c:v>
                  </c:pt>
                </c:numCache>
              </c:numRef>
            </c:plus>
            <c:minus>
              <c:numRef>
                <c:f>'MLX_R_AVG&amp;SD'!$N$3:$N$7</c:f>
                <c:numCache>
                  <c:formatCode>General</c:formatCode>
                  <c:ptCount val="5"/>
                  <c:pt idx="0">
                    <c:v>0.39623225512317889</c:v>
                  </c:pt>
                  <c:pt idx="1">
                    <c:v>1.0449880382090511</c:v>
                  </c:pt>
                  <c:pt idx="2">
                    <c:v>0.87578536183245204</c:v>
                  </c:pt>
                  <c:pt idx="3">
                    <c:v>0.4636809247747849</c:v>
                  </c:pt>
                  <c:pt idx="4">
                    <c:v>0.87578536183245326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'MLX_R_AVG&amp;SD'!$F$3:$F$7</c:f>
              <c:numCache>
                <c:formatCode>General</c:formatCode>
                <c:ptCount val="5"/>
                <c:pt idx="0">
                  <c:v>32.779999999999994</c:v>
                </c:pt>
                <c:pt idx="1">
                  <c:v>31.419999999999998</c:v>
                </c:pt>
                <c:pt idx="2">
                  <c:v>29.880000000000003</c:v>
                </c:pt>
                <c:pt idx="3">
                  <c:v>28.4</c:v>
                </c:pt>
                <c:pt idx="4">
                  <c:v>27.080000000000002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E-4351-841C-55F020442A1B}"/>
            </c:ext>
          </c:extLst>
        </c:ser>
        <c:ser>
          <c:idx val="5"/>
          <c:order val="5"/>
          <c:tx>
            <c:strRef>
              <c:f>'MLX_R_AVG&amp;SD'!$G$2</c:f>
              <c:strCache>
                <c:ptCount val="1"/>
                <c:pt idx="0">
                  <c:v>MLX-R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'MLX_R_AVG&amp;SD'!$O$3:$O$7</c:f>
                <c:numCache>
                  <c:formatCode>General</c:formatCode>
                  <c:ptCount val="5"/>
                  <c:pt idx="0">
                    <c:v>0.33040379335998427</c:v>
                  </c:pt>
                  <c:pt idx="1">
                    <c:v>0.38622100754188105</c:v>
                  </c:pt>
                  <c:pt idx="2">
                    <c:v>0.59090326337452836</c:v>
                  </c:pt>
                  <c:pt idx="3">
                    <c:v>0.44253060157839164</c:v>
                  </c:pt>
                  <c:pt idx="4">
                    <c:v>0.58523499553598213</c:v>
                  </c:pt>
                </c:numCache>
              </c:numRef>
            </c:plus>
            <c:minus>
              <c:numRef>
                <c:f>'MLX_R_AVG&amp;SD'!$O$3:$O$7</c:f>
                <c:numCache>
                  <c:formatCode>General</c:formatCode>
                  <c:ptCount val="5"/>
                  <c:pt idx="0">
                    <c:v>0.33040379335998427</c:v>
                  </c:pt>
                  <c:pt idx="1">
                    <c:v>0.38622100754188105</c:v>
                  </c:pt>
                  <c:pt idx="2">
                    <c:v>0.59090326337452836</c:v>
                  </c:pt>
                  <c:pt idx="3">
                    <c:v>0.44253060157839164</c:v>
                  </c:pt>
                  <c:pt idx="4">
                    <c:v>0.58523499553598213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'MLX_R_AVG&amp;SD'!$G$3:$G$7</c:f>
              <c:numCache>
                <c:formatCode>General</c:formatCode>
                <c:ptCount val="5"/>
                <c:pt idx="0">
                  <c:v>32.875</c:v>
                </c:pt>
                <c:pt idx="1">
                  <c:v>30.824999999999996</c:v>
                </c:pt>
                <c:pt idx="2">
                  <c:v>29.875</c:v>
                </c:pt>
                <c:pt idx="3">
                  <c:v>28.974999999999998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BE-4351-841C-55F020442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605776"/>
        <c:axId val="1024606136"/>
      </c:lineChart>
      <c:catAx>
        <c:axId val="102460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606136"/>
        <c:crosses val="autoZero"/>
        <c:auto val="1"/>
        <c:lblAlgn val="ctr"/>
        <c:lblOffset val="100"/>
        <c:noMultiLvlLbl val="0"/>
      </c:catAx>
      <c:valAx>
        <c:axId val="10246061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60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Avarage Value of MLX-R at different ambient temperature where eye-glasses is 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'MLX_R_AVG&amp;SD'!$B$12</c:f>
              <c:strCache>
                <c:ptCount val="1"/>
                <c:pt idx="0">
                  <c:v>MLX-R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'MLX_R_AVG&amp;SD'!$J$13:$J$17</c:f>
                <c:numCache>
                  <c:formatCode>General</c:formatCode>
                  <c:ptCount val="5"/>
                  <c:pt idx="0">
                    <c:v>0.60415229867972875</c:v>
                  </c:pt>
                  <c:pt idx="1">
                    <c:v>1.3264668430512259</c:v>
                  </c:pt>
                  <c:pt idx="2">
                    <c:v>0.80711125096145897</c:v>
                  </c:pt>
                  <c:pt idx="3">
                    <c:v>0.51530157605591909</c:v>
                  </c:pt>
                  <c:pt idx="4">
                    <c:v>0.91612538131290433</c:v>
                  </c:pt>
                </c:numCache>
              </c:numRef>
            </c:plus>
            <c:minus>
              <c:numRef>
                <c:f>'MLX_R_AVG&amp;SD'!$J$13:$J$17</c:f>
                <c:numCache>
                  <c:formatCode>General</c:formatCode>
                  <c:ptCount val="5"/>
                  <c:pt idx="0">
                    <c:v>0.60415229867972875</c:v>
                  </c:pt>
                  <c:pt idx="1">
                    <c:v>1.3264668430512259</c:v>
                  </c:pt>
                  <c:pt idx="2">
                    <c:v>0.80711125096145897</c:v>
                  </c:pt>
                  <c:pt idx="3">
                    <c:v>0.51530157605591909</c:v>
                  </c:pt>
                  <c:pt idx="4">
                    <c:v>0.91612538131290433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'MLX_R_AVG&amp;SD'!$B$13:$B$17</c:f>
              <c:numCache>
                <c:formatCode>General</c:formatCode>
                <c:ptCount val="5"/>
                <c:pt idx="0">
                  <c:v>30.625</c:v>
                </c:pt>
                <c:pt idx="1">
                  <c:v>27.284999999999997</c:v>
                </c:pt>
                <c:pt idx="2">
                  <c:v>24.95</c:v>
                </c:pt>
                <c:pt idx="3">
                  <c:v>23.462499999999999</c:v>
                </c:pt>
                <c:pt idx="4">
                  <c:v>22.375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7-4C08-9B5B-DD8F6A685BD7}"/>
            </c:ext>
          </c:extLst>
        </c:ser>
        <c:ser>
          <c:idx val="1"/>
          <c:order val="1"/>
          <c:tx>
            <c:strRef>
              <c:f>'MLX_R_AVG&amp;SD'!$C$12</c:f>
              <c:strCache>
                <c:ptCount val="1"/>
                <c:pt idx="0">
                  <c:v>MLX-R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'MLX_R_AVG&amp;SD'!$K$13:$K$17</c:f>
                <c:numCache>
                  <c:formatCode>General</c:formatCode>
                  <c:ptCount val="5"/>
                  <c:pt idx="0">
                    <c:v>0.67294661218936469</c:v>
                  </c:pt>
                  <c:pt idx="1">
                    <c:v>0.84204965355234229</c:v>
                  </c:pt>
                  <c:pt idx="2">
                    <c:v>0.75372092852410422</c:v>
                  </c:pt>
                  <c:pt idx="3">
                    <c:v>1.1118410300894981</c:v>
                  </c:pt>
                  <c:pt idx="4">
                    <c:v>1.2143977539348072</c:v>
                  </c:pt>
                </c:numCache>
              </c:numRef>
            </c:plus>
            <c:minus>
              <c:numRef>
                <c:f>'MLX_R_AVG&amp;SD'!$K$13:$K$17</c:f>
                <c:numCache>
                  <c:formatCode>General</c:formatCode>
                  <c:ptCount val="5"/>
                  <c:pt idx="0">
                    <c:v>0.67294661218936469</c:v>
                  </c:pt>
                  <c:pt idx="1">
                    <c:v>0.84204965355234229</c:v>
                  </c:pt>
                  <c:pt idx="2">
                    <c:v>0.75372092852410422</c:v>
                  </c:pt>
                  <c:pt idx="3">
                    <c:v>1.1118410300894981</c:v>
                  </c:pt>
                  <c:pt idx="4">
                    <c:v>1.2143977539348072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'MLX_R_AVG&amp;SD'!$C$13:$C$17</c:f>
              <c:numCache>
                <c:formatCode>General</c:formatCode>
                <c:ptCount val="5"/>
                <c:pt idx="0">
                  <c:v>31.057142857142853</c:v>
                </c:pt>
                <c:pt idx="1">
                  <c:v>27.428571428571427</c:v>
                </c:pt>
                <c:pt idx="2">
                  <c:v>25.485714285714288</c:v>
                </c:pt>
                <c:pt idx="3">
                  <c:v>23.957142857142856</c:v>
                </c:pt>
                <c:pt idx="4">
                  <c:v>22.614285714285717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7-4C08-9B5B-DD8F6A685BD7}"/>
            </c:ext>
          </c:extLst>
        </c:ser>
        <c:ser>
          <c:idx val="2"/>
          <c:order val="2"/>
          <c:tx>
            <c:strRef>
              <c:f>'MLX_R_AVG&amp;SD'!$D$12</c:f>
              <c:strCache>
                <c:ptCount val="1"/>
                <c:pt idx="0">
                  <c:v>MLX-R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'MLX_R_AVG&amp;SD'!$L$13:$L$17</c:f>
                <c:numCache>
                  <c:formatCode>General</c:formatCode>
                  <c:ptCount val="5"/>
                  <c:pt idx="0">
                    <c:v>0.14142135623730964</c:v>
                  </c:pt>
                  <c:pt idx="1">
                    <c:v>1.0784247771634328</c:v>
                  </c:pt>
                  <c:pt idx="2">
                    <c:v>0.55497747702046407</c:v>
                  </c:pt>
                  <c:pt idx="3">
                    <c:v>0.91214034007931033</c:v>
                  </c:pt>
                  <c:pt idx="4">
                    <c:v>0.75960516059331773</c:v>
                  </c:pt>
                </c:numCache>
              </c:numRef>
            </c:plus>
            <c:minus>
              <c:numRef>
                <c:f>'MLX_R_AVG&amp;SD'!$L$13:$L$17</c:f>
                <c:numCache>
                  <c:formatCode>General</c:formatCode>
                  <c:ptCount val="5"/>
                  <c:pt idx="0">
                    <c:v>0.14142135623730964</c:v>
                  </c:pt>
                  <c:pt idx="1">
                    <c:v>1.0784247771634328</c:v>
                  </c:pt>
                  <c:pt idx="2">
                    <c:v>0.55497747702046407</c:v>
                  </c:pt>
                  <c:pt idx="3">
                    <c:v>0.91214034007931033</c:v>
                  </c:pt>
                  <c:pt idx="4">
                    <c:v>0.75960516059331773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'MLX_R_AVG&amp;SD'!$D$13:$D$17</c:f>
              <c:numCache>
                <c:formatCode>General</c:formatCode>
                <c:ptCount val="5"/>
                <c:pt idx="0">
                  <c:v>31.1</c:v>
                </c:pt>
                <c:pt idx="1">
                  <c:v>28.24</c:v>
                </c:pt>
                <c:pt idx="2">
                  <c:v>26.46</c:v>
                </c:pt>
                <c:pt idx="3">
                  <c:v>24.98</c:v>
                </c:pt>
                <c:pt idx="4">
                  <c:v>23.119999999999997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7-4C08-9B5B-DD8F6A685BD7}"/>
            </c:ext>
          </c:extLst>
        </c:ser>
        <c:ser>
          <c:idx val="3"/>
          <c:order val="3"/>
          <c:tx>
            <c:strRef>
              <c:f>'MLX_R_AVG&amp;SD'!$E$12</c:f>
              <c:strCache>
                <c:ptCount val="1"/>
                <c:pt idx="0">
                  <c:v>MLX-R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'MLX_R_AVG&amp;SD'!$M$13:$M$17</c:f>
                <c:numCache>
                  <c:formatCode>General</c:formatCode>
                  <c:ptCount val="5"/>
                  <c:pt idx="0">
                    <c:v>0.63471028261494533</c:v>
                  </c:pt>
                  <c:pt idx="1">
                    <c:v>1.0531132982958764</c:v>
                  </c:pt>
                  <c:pt idx="2">
                    <c:v>0.69624845045565831</c:v>
                  </c:pt>
                  <c:pt idx="3">
                    <c:v>0.72997064520235533</c:v>
                  </c:pt>
                  <c:pt idx="4">
                    <c:v>0.45773770821706344</c:v>
                  </c:pt>
                </c:numCache>
              </c:numRef>
            </c:plus>
            <c:minus>
              <c:numRef>
                <c:f>'MLX_R_AVG&amp;SD'!$M$13:$M$17</c:f>
                <c:numCache>
                  <c:formatCode>General</c:formatCode>
                  <c:ptCount val="5"/>
                  <c:pt idx="0">
                    <c:v>0.63471028261494533</c:v>
                  </c:pt>
                  <c:pt idx="1">
                    <c:v>1.0531132982958764</c:v>
                  </c:pt>
                  <c:pt idx="2">
                    <c:v>0.69624845045565831</c:v>
                  </c:pt>
                  <c:pt idx="3">
                    <c:v>0.72997064520235533</c:v>
                  </c:pt>
                  <c:pt idx="4">
                    <c:v>0.45773770821706344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'MLX_R_AVG&amp;SD'!$E$13:$E$17</c:f>
              <c:numCache>
                <c:formatCode>General</c:formatCode>
                <c:ptCount val="5"/>
                <c:pt idx="0">
                  <c:v>31.642857142857142</c:v>
                </c:pt>
                <c:pt idx="1">
                  <c:v>28.428571428571427</c:v>
                </c:pt>
                <c:pt idx="2">
                  <c:v>27.214285714285715</c:v>
                </c:pt>
                <c:pt idx="3">
                  <c:v>26.557142857142857</c:v>
                </c:pt>
                <c:pt idx="4">
                  <c:v>24.24285714285714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E7-4C08-9B5B-DD8F6A685BD7}"/>
            </c:ext>
          </c:extLst>
        </c:ser>
        <c:ser>
          <c:idx val="4"/>
          <c:order val="4"/>
          <c:tx>
            <c:strRef>
              <c:f>'MLX_R_AVG&amp;SD'!$F$12</c:f>
              <c:strCache>
                <c:ptCount val="1"/>
                <c:pt idx="0">
                  <c:v>MLX-R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'MLX_R_AVG&amp;SD'!$N$13:$N$17</c:f>
                <c:numCache>
                  <c:formatCode>General</c:formatCode>
                  <c:ptCount val="5"/>
                  <c:pt idx="0">
                    <c:v>1.1247221879201992</c:v>
                  </c:pt>
                  <c:pt idx="1">
                    <c:v>1.0295630140987011</c:v>
                  </c:pt>
                  <c:pt idx="2">
                    <c:v>0.78148210837759169</c:v>
                  </c:pt>
                  <c:pt idx="3">
                    <c:v>0.52030211004212346</c:v>
                  </c:pt>
                  <c:pt idx="4">
                    <c:v>1.0260012531320666</c:v>
                  </c:pt>
                </c:numCache>
              </c:numRef>
            </c:plus>
            <c:minus>
              <c:numRef>
                <c:f>'MLX_R_AVG&amp;SD'!$N$13:$N$17</c:f>
                <c:numCache>
                  <c:formatCode>General</c:formatCode>
                  <c:ptCount val="5"/>
                  <c:pt idx="0">
                    <c:v>1.1247221879201992</c:v>
                  </c:pt>
                  <c:pt idx="1">
                    <c:v>1.0295630140987011</c:v>
                  </c:pt>
                  <c:pt idx="2">
                    <c:v>0.78148210837759169</c:v>
                  </c:pt>
                  <c:pt idx="3">
                    <c:v>0.52030211004212346</c:v>
                  </c:pt>
                  <c:pt idx="4">
                    <c:v>1.0260012531320666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'MLX_R_AVG&amp;SD'!$F$13:$F$17</c:f>
              <c:numCache>
                <c:formatCode>General</c:formatCode>
                <c:ptCount val="5"/>
                <c:pt idx="0">
                  <c:v>32.674999999999997</c:v>
                </c:pt>
                <c:pt idx="1">
                  <c:v>31.3</c:v>
                </c:pt>
                <c:pt idx="2">
                  <c:v>29.574999999999996</c:v>
                </c:pt>
                <c:pt idx="3">
                  <c:v>28.024999999999999</c:v>
                </c:pt>
                <c:pt idx="4">
                  <c:v>27.012499999999999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E7-4C08-9B5B-DD8F6A685BD7}"/>
            </c:ext>
          </c:extLst>
        </c:ser>
        <c:ser>
          <c:idx val="5"/>
          <c:order val="5"/>
          <c:tx>
            <c:strRef>
              <c:f>'MLX_R_AVG&amp;SD'!$G$12</c:f>
              <c:strCache>
                <c:ptCount val="1"/>
                <c:pt idx="0">
                  <c:v>MLX-R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'MLX_R_AVG&amp;SD'!$O$13:$O$17</c:f>
                <c:numCache>
                  <c:formatCode>General</c:formatCode>
                  <c:ptCount val="5"/>
                  <c:pt idx="0">
                    <c:v>0.4106228331584974</c:v>
                  </c:pt>
                  <c:pt idx="1">
                    <c:v>0.66164777470930636</c:v>
                  </c:pt>
                  <c:pt idx="2">
                    <c:v>0.65722480510434489</c:v>
                  </c:pt>
                  <c:pt idx="3">
                    <c:v>0.50249378105604503</c:v>
                  </c:pt>
                  <c:pt idx="4">
                    <c:v>0.69661881813354598</c:v>
                  </c:pt>
                </c:numCache>
              </c:numRef>
            </c:plus>
            <c:minus>
              <c:numRef>
                <c:f>'MLX_R_AVG&amp;SD'!$O$13:$O$17</c:f>
                <c:numCache>
                  <c:formatCode>General</c:formatCode>
                  <c:ptCount val="5"/>
                  <c:pt idx="0">
                    <c:v>0.4106228331584974</c:v>
                  </c:pt>
                  <c:pt idx="1">
                    <c:v>0.66164777470930636</c:v>
                  </c:pt>
                  <c:pt idx="2">
                    <c:v>0.65722480510434489</c:v>
                  </c:pt>
                  <c:pt idx="3">
                    <c:v>0.50249378105604503</c:v>
                  </c:pt>
                  <c:pt idx="4">
                    <c:v>0.69661881813354598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'MLX_R_AVG&amp;SD'!$G$13:$G$17</c:f>
              <c:numCache>
                <c:formatCode>General</c:formatCode>
                <c:ptCount val="5"/>
                <c:pt idx="0">
                  <c:v>32.711111111111116</c:v>
                </c:pt>
                <c:pt idx="1">
                  <c:v>30.855555555555554</c:v>
                </c:pt>
                <c:pt idx="2">
                  <c:v>29.822222222222219</c:v>
                </c:pt>
                <c:pt idx="3">
                  <c:v>28.93333333333333</c:v>
                </c:pt>
                <c:pt idx="4">
                  <c:v>27.744444444444444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E7-4C08-9B5B-DD8F6A68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642576"/>
        <c:axId val="795642936"/>
      </c:lineChart>
      <c:catAx>
        <c:axId val="79564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42936"/>
        <c:crosses val="autoZero"/>
        <c:auto val="1"/>
        <c:lblAlgn val="ctr"/>
        <c:lblOffset val="100"/>
        <c:noMultiLvlLbl val="0"/>
      </c:catAx>
      <c:valAx>
        <c:axId val="7956429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4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Avarage Value of RS-T10 at different ambient temperature where eye-glasses is 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'RS_T-10_AVG&amp;SD'!$B$2</c:f>
              <c:strCache>
                <c:ptCount val="1"/>
                <c:pt idx="0">
                  <c:v>RS-T10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'RS_T-10_AVG&amp;SD'!$J$3:$J$7</c:f>
                <c:numCache>
                  <c:formatCode>General</c:formatCode>
                  <c:ptCount val="5"/>
                  <c:pt idx="0">
                    <c:v>1.0917875251164944</c:v>
                  </c:pt>
                  <c:pt idx="1">
                    <c:v>1.5501612819316575</c:v>
                  </c:pt>
                  <c:pt idx="2">
                    <c:v>1.0639548862616315</c:v>
                  </c:pt>
                  <c:pt idx="3">
                    <c:v>0.97108187090481735</c:v>
                  </c:pt>
                  <c:pt idx="4">
                    <c:v>0.96176920308356728</c:v>
                  </c:pt>
                </c:numCache>
              </c:numRef>
            </c:plus>
            <c:minus>
              <c:numRef>
                <c:f>'RS_T-10_AVG&amp;SD'!$J$3:$J$7</c:f>
                <c:numCache>
                  <c:formatCode>General</c:formatCode>
                  <c:ptCount val="5"/>
                  <c:pt idx="0">
                    <c:v>1.0917875251164944</c:v>
                  </c:pt>
                  <c:pt idx="1">
                    <c:v>1.5501612819316575</c:v>
                  </c:pt>
                  <c:pt idx="2">
                    <c:v>1.0639548862616315</c:v>
                  </c:pt>
                  <c:pt idx="3">
                    <c:v>0.97108187090481735</c:v>
                  </c:pt>
                  <c:pt idx="4">
                    <c:v>0.96176920308356728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'RS_T-10_AVG&amp;SD'!$B$3:$B$7</c:f>
              <c:numCache>
                <c:formatCode>General</c:formatCode>
                <c:ptCount val="5"/>
                <c:pt idx="0">
                  <c:v>30.22</c:v>
                </c:pt>
                <c:pt idx="1">
                  <c:v>27.839999999999996</c:v>
                </c:pt>
                <c:pt idx="2">
                  <c:v>25.18</c:v>
                </c:pt>
                <c:pt idx="3">
                  <c:v>23.360000000000003</c:v>
                </c:pt>
                <c:pt idx="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D-4FA3-AEC8-4F7E8DF049AE}"/>
            </c:ext>
          </c:extLst>
        </c:ser>
        <c:ser>
          <c:idx val="1"/>
          <c:order val="1"/>
          <c:tx>
            <c:strRef>
              <c:f>'RS_T-10_AVG&amp;SD'!$C$2</c:f>
              <c:strCache>
                <c:ptCount val="1"/>
                <c:pt idx="0">
                  <c:v>RS-T10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'RS_T-10_AVG&amp;SD'!$K$3:$K$7</c:f>
                <c:numCache>
                  <c:formatCode>General</c:formatCode>
                  <c:ptCount val="5"/>
                  <c:pt idx="0">
                    <c:v>0.66833125519211378</c:v>
                  </c:pt>
                  <c:pt idx="1">
                    <c:v>1.2013880860626733</c:v>
                  </c:pt>
                  <c:pt idx="2">
                    <c:v>1.3304134695650074</c:v>
                  </c:pt>
                  <c:pt idx="3">
                    <c:v>0.942956343987709</c:v>
                  </c:pt>
                  <c:pt idx="4">
                    <c:v>0.72571803523590783</c:v>
                  </c:pt>
                </c:numCache>
              </c:numRef>
            </c:plus>
            <c:minus>
              <c:numRef>
                <c:f>'RS_T-10_AVG&amp;SD'!$K$3:$K$7</c:f>
                <c:numCache>
                  <c:formatCode>General</c:formatCode>
                  <c:ptCount val="5"/>
                  <c:pt idx="0">
                    <c:v>0.66833125519211378</c:v>
                  </c:pt>
                  <c:pt idx="1">
                    <c:v>1.2013880860626733</c:v>
                  </c:pt>
                  <c:pt idx="2">
                    <c:v>1.3304134695650074</c:v>
                  </c:pt>
                  <c:pt idx="3">
                    <c:v>0.942956343987709</c:v>
                  </c:pt>
                  <c:pt idx="4">
                    <c:v>0.72571803523590783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'RS_T-10_AVG&amp;SD'!$C$3:$C$7</c:f>
              <c:numCache>
                <c:formatCode>General</c:formatCode>
                <c:ptCount val="5"/>
                <c:pt idx="0">
                  <c:v>29.7</c:v>
                </c:pt>
                <c:pt idx="1">
                  <c:v>27.25</c:v>
                </c:pt>
                <c:pt idx="2">
                  <c:v>25.85</c:v>
                </c:pt>
                <c:pt idx="3">
                  <c:v>23.324999999999999</c:v>
                </c:pt>
                <c:pt idx="4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D-4FA3-AEC8-4F7E8DF049AE}"/>
            </c:ext>
          </c:extLst>
        </c:ser>
        <c:ser>
          <c:idx val="2"/>
          <c:order val="2"/>
          <c:tx>
            <c:strRef>
              <c:f>'RS_T-10_AVG&amp;SD'!$D$2</c:f>
              <c:strCache>
                <c:ptCount val="1"/>
                <c:pt idx="0">
                  <c:v>RS-T10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0.30550504633039016</c:v>
                  </c:pt>
                  <c:pt idx="2">
                    <c:v>0.36055512754639862</c:v>
                  </c:pt>
                  <c:pt idx="3">
                    <c:v>0.76376261582597327</c:v>
                  </c:pt>
                  <c:pt idx="4">
                    <c:v>5.77350269189634E-2</c:v>
                  </c:pt>
                </c:numCache>
              </c:numRef>
            </c:plus>
            <c:minus>
              <c:numRef>
                <c:f>'RS_T-10_AVG&amp;SD'!$L$3:$L$7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0.30550504633039016</c:v>
                  </c:pt>
                  <c:pt idx="2">
                    <c:v>0.36055512754639862</c:v>
                  </c:pt>
                  <c:pt idx="3">
                    <c:v>0.76376261582597327</c:v>
                  </c:pt>
                  <c:pt idx="4">
                    <c:v>5.77350269189634E-2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'RS_T-10_AVG&amp;SD'!$D$3:$D$7</c:f>
              <c:numCache>
                <c:formatCode>General</c:formatCode>
                <c:ptCount val="5"/>
                <c:pt idx="0">
                  <c:v>30.266666666666666</c:v>
                </c:pt>
                <c:pt idx="1">
                  <c:v>28.733333333333334</c:v>
                </c:pt>
                <c:pt idx="2">
                  <c:v>27.099999999999998</c:v>
                </c:pt>
                <c:pt idx="3">
                  <c:v>25.033333333333331</c:v>
                </c:pt>
                <c:pt idx="4">
                  <c:v>22.433333333333334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D-4FA3-AEC8-4F7E8DF049AE}"/>
            </c:ext>
          </c:extLst>
        </c:ser>
        <c:ser>
          <c:idx val="3"/>
          <c:order val="3"/>
          <c:tx>
            <c:strRef>
              <c:f>'RS_T-10_AVG&amp;SD'!$E$2</c:f>
              <c:strCache>
                <c:ptCount val="1"/>
                <c:pt idx="0">
                  <c:v>RS-T10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'RS_T-10_AVG&amp;SD'!$M$3:$M$7</c:f>
                <c:numCache>
                  <c:formatCode>General</c:formatCode>
                  <c:ptCount val="5"/>
                  <c:pt idx="0">
                    <c:v>0.28867513459481292</c:v>
                  </c:pt>
                  <c:pt idx="1">
                    <c:v>0.52915026221291828</c:v>
                  </c:pt>
                  <c:pt idx="2">
                    <c:v>0.8144527815247079</c:v>
                  </c:pt>
                  <c:pt idx="3">
                    <c:v>0.90184995056457917</c:v>
                  </c:pt>
                  <c:pt idx="4">
                    <c:v>0.68068592855540488</c:v>
                  </c:pt>
                </c:numCache>
              </c:numRef>
            </c:plus>
            <c:minus>
              <c:numRef>
                <c:f>'RS_T-10_AVG&amp;SD'!$M$3:$M$7</c:f>
                <c:numCache>
                  <c:formatCode>General</c:formatCode>
                  <c:ptCount val="5"/>
                  <c:pt idx="0">
                    <c:v>0.28867513459481292</c:v>
                  </c:pt>
                  <c:pt idx="1">
                    <c:v>0.52915026221291828</c:v>
                  </c:pt>
                  <c:pt idx="2">
                    <c:v>0.8144527815247079</c:v>
                  </c:pt>
                  <c:pt idx="3">
                    <c:v>0.90184995056457917</c:v>
                  </c:pt>
                  <c:pt idx="4">
                    <c:v>0.68068592855540488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'RS_T-10_AVG&amp;SD'!$E$3:$E$7</c:f>
              <c:numCache>
                <c:formatCode>General</c:formatCode>
                <c:ptCount val="5"/>
                <c:pt idx="0">
                  <c:v>29.966666666666669</c:v>
                </c:pt>
                <c:pt idx="1">
                  <c:v>28.8</c:v>
                </c:pt>
                <c:pt idx="2">
                  <c:v>27.766666666666666</c:v>
                </c:pt>
                <c:pt idx="3">
                  <c:v>26.866666666666664</c:v>
                </c:pt>
                <c:pt idx="4">
                  <c:v>24.733333333333334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3D-4FA3-AEC8-4F7E8DF049AE}"/>
            </c:ext>
          </c:extLst>
        </c:ser>
        <c:ser>
          <c:idx val="4"/>
          <c:order val="4"/>
          <c:tx>
            <c:strRef>
              <c:f>'RS_T-10_AVG&amp;SD'!$F$2</c:f>
              <c:strCache>
                <c:ptCount val="1"/>
                <c:pt idx="0">
                  <c:v>RS-T10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'RS_T-10_AVG&amp;SD'!$N$3:$N$7</c:f>
                <c:numCache>
                  <c:formatCode>General</c:formatCode>
                  <c:ptCount val="5"/>
                  <c:pt idx="0">
                    <c:v>0.37013511046643621</c:v>
                  </c:pt>
                  <c:pt idx="1">
                    <c:v>0.36331804249169952</c:v>
                  </c:pt>
                  <c:pt idx="2">
                    <c:v>0.90443352436760116</c:v>
                  </c:pt>
                  <c:pt idx="3">
                    <c:v>0.29154759474226521</c:v>
                  </c:pt>
                  <c:pt idx="4">
                    <c:v>0.30822070014844916</c:v>
                  </c:pt>
                </c:numCache>
              </c:numRef>
            </c:plus>
            <c:minus>
              <c:numRef>
                <c:f>'RS_T-10_AVG&amp;SD'!$N$3:$N$7</c:f>
                <c:numCache>
                  <c:formatCode>General</c:formatCode>
                  <c:ptCount val="5"/>
                  <c:pt idx="0">
                    <c:v>0.37013511046643621</c:v>
                  </c:pt>
                  <c:pt idx="1">
                    <c:v>0.36331804249169952</c:v>
                  </c:pt>
                  <c:pt idx="2">
                    <c:v>0.90443352436760116</c:v>
                  </c:pt>
                  <c:pt idx="3">
                    <c:v>0.29154759474226521</c:v>
                  </c:pt>
                  <c:pt idx="4">
                    <c:v>0.30822070014844916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'RS_T-10_AVG&amp;SD'!$F$3:$F$7</c:f>
              <c:numCache>
                <c:formatCode>General</c:formatCode>
                <c:ptCount val="5"/>
                <c:pt idx="0">
                  <c:v>31.620000000000005</c:v>
                </c:pt>
                <c:pt idx="1">
                  <c:v>30.584615384615383</c:v>
                </c:pt>
                <c:pt idx="2">
                  <c:v>28.876923076923074</c:v>
                </c:pt>
                <c:pt idx="3">
                  <c:v>27.438461538461542</c:v>
                </c:pt>
                <c:pt idx="4">
                  <c:v>26.353846153846156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3D-4FA3-AEC8-4F7E8DF049AE}"/>
            </c:ext>
          </c:extLst>
        </c:ser>
        <c:ser>
          <c:idx val="5"/>
          <c:order val="5"/>
          <c:tx>
            <c:strRef>
              <c:f>'RS_T-10_AVG&amp;SD'!$G$2</c:f>
              <c:strCache>
                <c:ptCount val="1"/>
                <c:pt idx="0">
                  <c:v>RS-T10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'RS_T-10_AVG&amp;SD'!$O$3:$O$7</c:f>
                <c:numCache>
                  <c:formatCode>General</c:formatCode>
                  <c:ptCount val="5"/>
                  <c:pt idx="0">
                    <c:v>1.1354147553500735</c:v>
                  </c:pt>
                  <c:pt idx="1">
                    <c:v>0.55602757725374208</c:v>
                  </c:pt>
                  <c:pt idx="2">
                    <c:v>1.2909944487358045</c:v>
                  </c:pt>
                  <c:pt idx="3">
                    <c:v>2.1150256105620411</c:v>
                  </c:pt>
                  <c:pt idx="4">
                    <c:v>1.1814539065631513</c:v>
                  </c:pt>
                </c:numCache>
              </c:numRef>
            </c:plus>
            <c:minus>
              <c:numRef>
                <c:f>'RS_T-10_AVG&amp;SD'!$O$3:$O$7</c:f>
                <c:numCache>
                  <c:formatCode>General</c:formatCode>
                  <c:ptCount val="5"/>
                  <c:pt idx="0">
                    <c:v>1.1354147553500735</c:v>
                  </c:pt>
                  <c:pt idx="1">
                    <c:v>0.55602757725374208</c:v>
                  </c:pt>
                  <c:pt idx="2">
                    <c:v>1.2909944487358045</c:v>
                  </c:pt>
                  <c:pt idx="3">
                    <c:v>2.1150256105620411</c:v>
                  </c:pt>
                  <c:pt idx="4">
                    <c:v>1.1814539065631513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'RS_T-10_AVG&amp;SD'!$G$3:$G$7</c:f>
              <c:numCache>
                <c:formatCode>General</c:formatCode>
                <c:ptCount val="5"/>
                <c:pt idx="0">
                  <c:v>30.524999999999999</c:v>
                </c:pt>
                <c:pt idx="1">
                  <c:v>29.625</c:v>
                </c:pt>
                <c:pt idx="2">
                  <c:v>28.5</c:v>
                </c:pt>
                <c:pt idx="3">
                  <c:v>27.3</c:v>
                </c:pt>
                <c:pt idx="4">
                  <c:v>26.274999999999999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3D-4FA3-AEC8-4F7E8DF0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376672"/>
        <c:axId val="891373792"/>
      </c:lineChart>
      <c:catAx>
        <c:axId val="89137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73792"/>
        <c:crosses val="autoZero"/>
        <c:auto val="1"/>
        <c:lblAlgn val="ctr"/>
        <c:lblOffset val="100"/>
        <c:noMultiLvlLbl val="0"/>
      </c:catAx>
      <c:valAx>
        <c:axId val="8913737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Avarage Value of RS-T10 at different ambient temperature where eye-glasses is 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'RS_T-10_AVG&amp;SD'!$B$11</c:f>
              <c:strCache>
                <c:ptCount val="1"/>
                <c:pt idx="0">
                  <c:v>RS-T10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'RS_T-10_AVG&amp;SD'!$J$12:$J$16</c:f>
                <c:numCache>
                  <c:formatCode>General</c:formatCode>
                  <c:ptCount val="5"/>
                  <c:pt idx="0">
                    <c:v>0.7382411530116697</c:v>
                  </c:pt>
                  <c:pt idx="1">
                    <c:v>1.4257203692970692</c:v>
                  </c:pt>
                  <c:pt idx="2">
                    <c:v>0.4062019202317978</c:v>
                  </c:pt>
                  <c:pt idx="3">
                    <c:v>0.80133816653324175</c:v>
                  </c:pt>
                  <c:pt idx="4">
                    <c:v>1.157506556599758</c:v>
                  </c:pt>
                </c:numCache>
              </c:numRef>
            </c:plus>
            <c:minus>
              <c:numRef>
                <c:f>'RS_T-10_AVG&amp;SD'!$J$12:$J$16</c:f>
                <c:numCache>
                  <c:formatCode>General</c:formatCode>
                  <c:ptCount val="5"/>
                  <c:pt idx="0">
                    <c:v>0.7382411530116697</c:v>
                  </c:pt>
                  <c:pt idx="1">
                    <c:v>1.4257203692970692</c:v>
                  </c:pt>
                  <c:pt idx="2">
                    <c:v>0.4062019202317978</c:v>
                  </c:pt>
                  <c:pt idx="3">
                    <c:v>0.80133816653324175</c:v>
                  </c:pt>
                  <c:pt idx="4">
                    <c:v>1.157506556599758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'RS_T-10_AVG&amp;SD'!$B$12:$B$16</c:f>
              <c:numCache>
                <c:formatCode>General</c:formatCode>
                <c:ptCount val="5"/>
                <c:pt idx="0">
                  <c:v>30.024999999999999</c:v>
                </c:pt>
                <c:pt idx="1">
                  <c:v>27.987499999999997</c:v>
                </c:pt>
                <c:pt idx="2">
                  <c:v>25.925000000000001</c:v>
                </c:pt>
                <c:pt idx="3">
                  <c:v>23.974999999999998</c:v>
                </c:pt>
                <c:pt idx="4">
                  <c:v>22.462499999999999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1-41B7-B8B0-616F40895EF5}"/>
            </c:ext>
          </c:extLst>
        </c:ser>
        <c:ser>
          <c:idx val="1"/>
          <c:order val="1"/>
          <c:tx>
            <c:strRef>
              <c:f>'RS_T-10_AVG&amp;SD'!$C$11</c:f>
              <c:strCache>
                <c:ptCount val="1"/>
                <c:pt idx="0">
                  <c:v>RS-T10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'RS_T-10_AVG&amp;SD'!$K$12:$K$16</c:f>
                <c:numCache>
                  <c:formatCode>General</c:formatCode>
                  <c:ptCount val="5"/>
                  <c:pt idx="0">
                    <c:v>0.75592894601845417</c:v>
                  </c:pt>
                  <c:pt idx="1">
                    <c:v>1.1073348527841416</c:v>
                  </c:pt>
                  <c:pt idx="2">
                    <c:v>1.2817398889233116</c:v>
                  </c:pt>
                  <c:pt idx="3">
                    <c:v>1.2928374110570018</c:v>
                  </c:pt>
                  <c:pt idx="4">
                    <c:v>0.9778499251881525</c:v>
                  </c:pt>
                </c:numCache>
              </c:numRef>
            </c:plus>
            <c:minus>
              <c:numRef>
                <c:f>'RS_T-10_AVG&amp;SD'!$K$12:$K$16</c:f>
                <c:numCache>
                  <c:formatCode>General</c:formatCode>
                  <c:ptCount val="5"/>
                  <c:pt idx="0">
                    <c:v>0.75592894601845417</c:v>
                  </c:pt>
                  <c:pt idx="1">
                    <c:v>1.1073348527841416</c:v>
                  </c:pt>
                  <c:pt idx="2">
                    <c:v>1.2817398889233116</c:v>
                  </c:pt>
                  <c:pt idx="3">
                    <c:v>1.2928374110570018</c:v>
                  </c:pt>
                  <c:pt idx="4">
                    <c:v>0.9778499251881525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'RS_T-10_AVG&amp;SD'!$C$12:$C$16</c:f>
              <c:numCache>
                <c:formatCode>General</c:formatCode>
                <c:ptCount val="5"/>
                <c:pt idx="0">
                  <c:v>30.085714285714289</c:v>
                </c:pt>
                <c:pt idx="1">
                  <c:v>27.657142857142855</c:v>
                </c:pt>
                <c:pt idx="2">
                  <c:v>25.857142857142858</c:v>
                </c:pt>
                <c:pt idx="3">
                  <c:v>23.814285714285713</c:v>
                </c:pt>
                <c:pt idx="4">
                  <c:v>22.442857142857147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1-41B7-B8B0-616F40895EF5}"/>
            </c:ext>
          </c:extLst>
        </c:ser>
        <c:ser>
          <c:idx val="2"/>
          <c:order val="2"/>
          <c:tx>
            <c:strRef>
              <c:f>'RS_T-10_AVG&amp;SD'!$D$11</c:f>
              <c:strCache>
                <c:ptCount val="1"/>
                <c:pt idx="0">
                  <c:v>RS-T10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'RS_T-10_AVG&amp;SD'!$L$12:$L$16</c:f>
                <c:numCache>
                  <c:formatCode>General</c:formatCode>
                  <c:ptCount val="5"/>
                  <c:pt idx="0">
                    <c:v>0.47559486560567077</c:v>
                  </c:pt>
                  <c:pt idx="1">
                    <c:v>0.64142698058981884</c:v>
                  </c:pt>
                  <c:pt idx="2">
                    <c:v>0.75150642363316178</c:v>
                  </c:pt>
                  <c:pt idx="3">
                    <c:v>0.99976187641048309</c:v>
                  </c:pt>
                  <c:pt idx="4">
                    <c:v>0.72670161558595547</c:v>
                  </c:pt>
                </c:numCache>
              </c:numRef>
            </c:plus>
            <c:minus>
              <c:numRef>
                <c:f>'RS_T-10_AVG&amp;SD'!$L$12:$L$16</c:f>
                <c:numCache>
                  <c:formatCode>General</c:formatCode>
                  <c:ptCount val="5"/>
                  <c:pt idx="0">
                    <c:v>0.47559486560567077</c:v>
                  </c:pt>
                  <c:pt idx="1">
                    <c:v>0.64142698058981884</c:v>
                  </c:pt>
                  <c:pt idx="2">
                    <c:v>0.75150642363316178</c:v>
                  </c:pt>
                  <c:pt idx="3">
                    <c:v>0.99976187641048309</c:v>
                  </c:pt>
                  <c:pt idx="4">
                    <c:v>0.72670161558595547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'RS_T-10_AVG&amp;SD'!$D$12:$D$16</c:f>
              <c:numCache>
                <c:formatCode>General</c:formatCode>
                <c:ptCount val="5"/>
                <c:pt idx="0">
                  <c:v>29.54</c:v>
                </c:pt>
                <c:pt idx="1">
                  <c:v>27.919999999999998</c:v>
                </c:pt>
                <c:pt idx="2">
                  <c:v>26.24</c:v>
                </c:pt>
                <c:pt idx="3">
                  <c:v>24.68</c:v>
                </c:pt>
                <c:pt idx="4">
                  <c:v>22.48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1-41B7-B8B0-616F40895EF5}"/>
            </c:ext>
          </c:extLst>
        </c:ser>
        <c:ser>
          <c:idx val="3"/>
          <c:order val="3"/>
          <c:tx>
            <c:strRef>
              <c:f>'RS_T-10_AVG&amp;SD'!$E$11</c:f>
              <c:strCache>
                <c:ptCount val="1"/>
                <c:pt idx="0">
                  <c:v>RS-T10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'RS_T-10_AVG&amp;SD'!$M$12:$M$16</c:f>
                <c:numCache>
                  <c:formatCode>General</c:formatCode>
                  <c:ptCount val="5"/>
                  <c:pt idx="0">
                    <c:v>0.47559486560567077</c:v>
                  </c:pt>
                  <c:pt idx="1">
                    <c:v>0.64142698058981884</c:v>
                  </c:pt>
                  <c:pt idx="2">
                    <c:v>0.75150642363316178</c:v>
                  </c:pt>
                  <c:pt idx="3">
                    <c:v>0.99976187641048309</c:v>
                  </c:pt>
                  <c:pt idx="4">
                    <c:v>0.72670161558595547</c:v>
                  </c:pt>
                </c:numCache>
              </c:numRef>
            </c:plus>
            <c:minus>
              <c:numRef>
                <c:f>'RS_T-10_AVG&amp;SD'!$M$12:$M$16</c:f>
                <c:numCache>
                  <c:formatCode>General</c:formatCode>
                  <c:ptCount val="5"/>
                  <c:pt idx="0">
                    <c:v>0.47559486560567077</c:v>
                  </c:pt>
                  <c:pt idx="1">
                    <c:v>0.64142698058981884</c:v>
                  </c:pt>
                  <c:pt idx="2">
                    <c:v>0.75150642363316178</c:v>
                  </c:pt>
                  <c:pt idx="3">
                    <c:v>0.99976187641048309</c:v>
                  </c:pt>
                  <c:pt idx="4">
                    <c:v>0.72670161558595547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'RS_T-10_AVG&amp;SD'!$E$12:$E$16</c:f>
              <c:numCache>
                <c:formatCode>General</c:formatCode>
                <c:ptCount val="5"/>
                <c:pt idx="0">
                  <c:v>29.957142857142859</c:v>
                </c:pt>
                <c:pt idx="1">
                  <c:v>28.285714285714285</c:v>
                </c:pt>
                <c:pt idx="2">
                  <c:v>27.185714285714287</c:v>
                </c:pt>
                <c:pt idx="3">
                  <c:v>25.942857142857143</c:v>
                </c:pt>
                <c:pt idx="4">
                  <c:v>24.214285714285715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1-41B7-B8B0-616F40895EF5}"/>
            </c:ext>
          </c:extLst>
        </c:ser>
        <c:ser>
          <c:idx val="4"/>
          <c:order val="4"/>
          <c:tx>
            <c:strRef>
              <c:f>'RS_T-10_AVG&amp;SD'!$F$11</c:f>
              <c:strCache>
                <c:ptCount val="1"/>
                <c:pt idx="0">
                  <c:v>RS-T10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'RS_T-10_AVG&amp;SD'!$N$12:$N$16</c:f>
                <c:numCache>
                  <c:formatCode>General</c:formatCode>
                  <c:ptCount val="5"/>
                  <c:pt idx="0">
                    <c:v>0.44701390198899721</c:v>
                  </c:pt>
                  <c:pt idx="1">
                    <c:v>0.50355876377184494</c:v>
                  </c:pt>
                  <c:pt idx="2">
                    <c:v>0.61411957886299062</c:v>
                  </c:pt>
                  <c:pt idx="3">
                    <c:v>0.68230177655177948</c:v>
                  </c:pt>
                  <c:pt idx="4">
                    <c:v>0.80133816653324175</c:v>
                  </c:pt>
                </c:numCache>
              </c:numRef>
            </c:plus>
            <c:minus>
              <c:numRef>
                <c:f>'RS_T-10_AVG&amp;SD'!$N$12:$N$16</c:f>
                <c:numCache>
                  <c:formatCode>General</c:formatCode>
                  <c:ptCount val="5"/>
                  <c:pt idx="0">
                    <c:v>0.44701390198899721</c:v>
                  </c:pt>
                  <c:pt idx="1">
                    <c:v>0.50355876377184494</c:v>
                  </c:pt>
                  <c:pt idx="2">
                    <c:v>0.61411957886299062</c:v>
                  </c:pt>
                  <c:pt idx="3">
                    <c:v>0.68230177655177948</c:v>
                  </c:pt>
                  <c:pt idx="4">
                    <c:v>0.80133816653324175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'RS_T-10_AVG&amp;SD'!$F$12:$F$16</c:f>
              <c:numCache>
                <c:formatCode>General</c:formatCode>
                <c:ptCount val="5"/>
                <c:pt idx="0">
                  <c:v>31.462499999999999</c:v>
                </c:pt>
                <c:pt idx="1">
                  <c:v>30.525000000000002</c:v>
                </c:pt>
                <c:pt idx="2">
                  <c:v>28.7</c:v>
                </c:pt>
                <c:pt idx="3">
                  <c:v>27.462499999999999</c:v>
                </c:pt>
                <c:pt idx="4">
                  <c:v>26.324999999999999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1-41B7-B8B0-616F40895EF5}"/>
            </c:ext>
          </c:extLst>
        </c:ser>
        <c:ser>
          <c:idx val="5"/>
          <c:order val="5"/>
          <c:tx>
            <c:strRef>
              <c:f>'RS_T-10_AVG&amp;SD'!$G$11</c:f>
              <c:strCache>
                <c:ptCount val="1"/>
                <c:pt idx="0">
                  <c:v>RS-T10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'RS_T-10_AVG&amp;SD'!$O$12:$O$16</c:f>
                <c:numCache>
                  <c:formatCode>General</c:formatCode>
                  <c:ptCount val="5"/>
                  <c:pt idx="0">
                    <c:v>0.68940392933154793</c:v>
                  </c:pt>
                  <c:pt idx="1">
                    <c:v>0.89861003778057158</c:v>
                  </c:pt>
                  <c:pt idx="2">
                    <c:v>0.99624294225856391</c:v>
                  </c:pt>
                  <c:pt idx="3">
                    <c:v>1.2888409952787467</c:v>
                  </c:pt>
                  <c:pt idx="4">
                    <c:v>1.0030509015554057</c:v>
                  </c:pt>
                </c:numCache>
              </c:numRef>
            </c:plus>
            <c:minus>
              <c:numRef>
                <c:f>'RS_T-10_AVG&amp;SD'!$O$12:$O$16</c:f>
                <c:numCache>
                  <c:formatCode>General</c:formatCode>
                  <c:ptCount val="5"/>
                  <c:pt idx="0">
                    <c:v>0.68940392933154793</c:v>
                  </c:pt>
                  <c:pt idx="1">
                    <c:v>0.89861003778057158</c:v>
                  </c:pt>
                  <c:pt idx="2">
                    <c:v>0.99624294225856391</c:v>
                  </c:pt>
                  <c:pt idx="3">
                    <c:v>1.2888409952787467</c:v>
                  </c:pt>
                  <c:pt idx="4">
                    <c:v>1.0030509015554057</c:v>
                  </c:pt>
                </c:numCache>
              </c:numRef>
            </c:minus>
            <c:spPr>
              <a:noFill/>
              <a:ln w="349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'RS_T-10_AVG&amp;SD'!$G$12:$G$16</c:f>
              <c:numCache>
                <c:formatCode>General</c:formatCode>
                <c:ptCount val="5"/>
                <c:pt idx="0">
                  <c:v>30.855555555555554</c:v>
                </c:pt>
                <c:pt idx="1">
                  <c:v>29.700000000000003</c:v>
                </c:pt>
                <c:pt idx="2">
                  <c:v>28.666666666666668</c:v>
                </c:pt>
                <c:pt idx="3">
                  <c:v>27.288888888888891</c:v>
                </c:pt>
                <c:pt idx="4">
                  <c:v>26.311111111111114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51-41B7-B8B0-616F40895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3208"/>
        <c:axId val="800160768"/>
      </c:lineChart>
      <c:catAx>
        <c:axId val="80015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60768"/>
        <c:crosses val="autoZero"/>
        <c:auto val="1"/>
        <c:lblAlgn val="ctr"/>
        <c:lblOffset val="100"/>
        <c:noMultiLvlLbl val="0"/>
      </c:catAx>
      <c:valAx>
        <c:axId val="8001607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  <a:p>
                <a:pPr>
                  <a:defRPr/>
                </a:pPr>
                <a:endPara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Reading of all Cameras at Different Ambient Temp when Eye_glasses 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76307380006501E-2"/>
          <c:y val="7.4521627924089742E-2"/>
          <c:w val="0.80542575443443176"/>
          <c:h val="0.85761073748599681"/>
        </c:manualLayout>
      </c:layout>
      <c:lineChart>
        <c:grouping val="standard"/>
        <c:varyColors val="0"/>
        <c:ser>
          <c:idx val="0"/>
          <c:order val="0"/>
          <c:tx>
            <c:strRef>
              <c:f>'RS_T-10_AVG&amp;SD'!$B$2</c:f>
              <c:strCache>
                <c:ptCount val="1"/>
                <c:pt idx="0">
                  <c:v>RS-T10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'RS_T-10_AVG&amp;SD'!$B$3:$B$7</c:f>
              <c:numCache>
                <c:formatCode>General</c:formatCode>
                <c:ptCount val="5"/>
                <c:pt idx="0">
                  <c:v>30.22</c:v>
                </c:pt>
                <c:pt idx="1">
                  <c:v>27.839999999999996</c:v>
                </c:pt>
                <c:pt idx="2">
                  <c:v>25.18</c:v>
                </c:pt>
                <c:pt idx="3">
                  <c:v>23.360000000000003</c:v>
                </c:pt>
                <c:pt idx="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5-4B92-9808-A32BEE10E168}"/>
            </c:ext>
          </c:extLst>
        </c:ser>
        <c:ser>
          <c:idx val="1"/>
          <c:order val="1"/>
          <c:tx>
            <c:strRef>
              <c:f>'RS_T-10_AVG&amp;SD'!$C$2</c:f>
              <c:strCache>
                <c:ptCount val="1"/>
                <c:pt idx="0">
                  <c:v>RS-T10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'RS_T-10_AVG&amp;SD'!$C$3:$C$7</c:f>
              <c:numCache>
                <c:formatCode>General</c:formatCode>
                <c:ptCount val="5"/>
                <c:pt idx="0">
                  <c:v>29.7</c:v>
                </c:pt>
                <c:pt idx="1">
                  <c:v>27.25</c:v>
                </c:pt>
                <c:pt idx="2">
                  <c:v>25.85</c:v>
                </c:pt>
                <c:pt idx="3">
                  <c:v>23.324999999999999</c:v>
                </c:pt>
                <c:pt idx="4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5-4B92-9808-A32BEE10E168}"/>
            </c:ext>
          </c:extLst>
        </c:ser>
        <c:ser>
          <c:idx val="2"/>
          <c:order val="2"/>
          <c:tx>
            <c:strRef>
              <c:f>'RS_T-10_AVG&amp;SD'!$D$2</c:f>
              <c:strCache>
                <c:ptCount val="1"/>
                <c:pt idx="0">
                  <c:v>RS-T10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'RS_T-10_AVG&amp;SD'!$D$3:$D$7</c:f>
              <c:numCache>
                <c:formatCode>General</c:formatCode>
                <c:ptCount val="5"/>
                <c:pt idx="0">
                  <c:v>30.266666666666666</c:v>
                </c:pt>
                <c:pt idx="1">
                  <c:v>28.733333333333334</c:v>
                </c:pt>
                <c:pt idx="2">
                  <c:v>27.099999999999998</c:v>
                </c:pt>
                <c:pt idx="3">
                  <c:v>25.033333333333331</c:v>
                </c:pt>
                <c:pt idx="4">
                  <c:v>22.433333333333334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5-4B92-9808-A32BEE10E168}"/>
            </c:ext>
          </c:extLst>
        </c:ser>
        <c:ser>
          <c:idx val="3"/>
          <c:order val="3"/>
          <c:tx>
            <c:strRef>
              <c:f>'RS_T-10_AVG&amp;SD'!$E$2</c:f>
              <c:strCache>
                <c:ptCount val="1"/>
                <c:pt idx="0">
                  <c:v>RS-T10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'RS_T-10_AVG&amp;SD'!$E$3:$E$7</c:f>
              <c:numCache>
                <c:formatCode>General</c:formatCode>
                <c:ptCount val="5"/>
                <c:pt idx="0">
                  <c:v>29.966666666666669</c:v>
                </c:pt>
                <c:pt idx="1">
                  <c:v>28.8</c:v>
                </c:pt>
                <c:pt idx="2">
                  <c:v>27.766666666666666</c:v>
                </c:pt>
                <c:pt idx="3">
                  <c:v>26.866666666666664</c:v>
                </c:pt>
                <c:pt idx="4">
                  <c:v>24.733333333333334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D5-4B92-9808-A32BEE10E168}"/>
            </c:ext>
          </c:extLst>
        </c:ser>
        <c:ser>
          <c:idx val="4"/>
          <c:order val="4"/>
          <c:tx>
            <c:strRef>
              <c:f>'RS_T-10_AVG&amp;SD'!$F$2</c:f>
              <c:strCache>
                <c:ptCount val="1"/>
                <c:pt idx="0">
                  <c:v>RS-T10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beve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'RS_T-10_AVG&amp;SD'!$F$3:$F$7</c:f>
              <c:numCache>
                <c:formatCode>General</c:formatCode>
                <c:ptCount val="5"/>
                <c:pt idx="0">
                  <c:v>31.620000000000005</c:v>
                </c:pt>
                <c:pt idx="1">
                  <c:v>30.584615384615383</c:v>
                </c:pt>
                <c:pt idx="2">
                  <c:v>28.876923076923074</c:v>
                </c:pt>
                <c:pt idx="3">
                  <c:v>27.438461538461542</c:v>
                </c:pt>
                <c:pt idx="4">
                  <c:v>26.353846153846156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D5-4B92-9808-A32BEE10E168}"/>
            </c:ext>
          </c:extLst>
        </c:ser>
        <c:ser>
          <c:idx val="5"/>
          <c:order val="5"/>
          <c:tx>
            <c:strRef>
              <c:f>'RS_T-10_AVG&amp;SD'!$G$2</c:f>
              <c:strCache>
                <c:ptCount val="1"/>
                <c:pt idx="0">
                  <c:v>RS-T10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'RS_T-10_AVG&amp;SD'!$G$3:$G$7</c:f>
              <c:numCache>
                <c:formatCode>General</c:formatCode>
                <c:ptCount val="5"/>
                <c:pt idx="0">
                  <c:v>30.524999999999999</c:v>
                </c:pt>
                <c:pt idx="1">
                  <c:v>29.625</c:v>
                </c:pt>
                <c:pt idx="2">
                  <c:v>28.5</c:v>
                </c:pt>
                <c:pt idx="3">
                  <c:v>27.3</c:v>
                </c:pt>
                <c:pt idx="4">
                  <c:v>26.274999999999999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D5-4B92-9808-A32BEE10E168}"/>
            </c:ext>
          </c:extLst>
        </c:ser>
        <c:ser>
          <c:idx val="6"/>
          <c:order val="6"/>
          <c:tx>
            <c:strRef>
              <c:f>'MLX_R_AVG&amp;SD'!$B$2</c:f>
              <c:strCache>
                <c:ptCount val="1"/>
                <c:pt idx="0">
                  <c:v>MLX-R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'MLX_R_AVG&amp;SD'!$B$3:$B$7</c:f>
              <c:numCache>
                <c:formatCode>General</c:formatCode>
                <c:ptCount val="5"/>
                <c:pt idx="0">
                  <c:v>30.2</c:v>
                </c:pt>
                <c:pt idx="1">
                  <c:v>27.1</c:v>
                </c:pt>
                <c:pt idx="2">
                  <c:v>24.6</c:v>
                </c:pt>
                <c:pt idx="3">
                  <c:v>23.1</c:v>
                </c:pt>
                <c:pt idx="4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D5-4B92-9808-A32BEE10E168}"/>
            </c:ext>
          </c:extLst>
        </c:ser>
        <c:ser>
          <c:idx val="7"/>
          <c:order val="7"/>
          <c:tx>
            <c:strRef>
              <c:f>'MLX_R_AVG&amp;SD'!$C$2</c:f>
              <c:strCache>
                <c:ptCount val="1"/>
                <c:pt idx="0">
                  <c:v>MLX-R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'MLX_R_AVG&amp;SD'!$C$3:$C$7</c:f>
              <c:numCache>
                <c:formatCode>General</c:formatCode>
                <c:ptCount val="5"/>
                <c:pt idx="0">
                  <c:v>30.925000000000001</c:v>
                </c:pt>
                <c:pt idx="1">
                  <c:v>26.824999999999999</c:v>
                </c:pt>
                <c:pt idx="2">
                  <c:v>25.225000000000001</c:v>
                </c:pt>
                <c:pt idx="3">
                  <c:v>23.55</c:v>
                </c:pt>
                <c:pt idx="4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D5-4B92-9808-A32BEE10E168}"/>
            </c:ext>
          </c:extLst>
        </c:ser>
        <c:ser>
          <c:idx val="8"/>
          <c:order val="8"/>
          <c:tx>
            <c:strRef>
              <c:f>'MLX_R_AVG&amp;SD'!$D$2</c:f>
              <c:strCache>
                <c:ptCount val="1"/>
                <c:pt idx="0">
                  <c:v>MLX-R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'MLX_R_AVG&amp;SD'!$D$3:$D$7</c:f>
              <c:numCache>
                <c:formatCode>General</c:formatCode>
                <c:ptCount val="5"/>
                <c:pt idx="0">
                  <c:v>31.5</c:v>
                </c:pt>
                <c:pt idx="1">
                  <c:v>29.099999999999998</c:v>
                </c:pt>
                <c:pt idx="2">
                  <c:v>27.2</c:v>
                </c:pt>
                <c:pt idx="3">
                  <c:v>25.833333333333332</c:v>
                </c:pt>
                <c:pt idx="4">
                  <c:v>22.833333333333332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D5-4B92-9808-A32BEE10E168}"/>
            </c:ext>
          </c:extLst>
        </c:ser>
        <c:ser>
          <c:idx val="9"/>
          <c:order val="9"/>
          <c:tx>
            <c:strRef>
              <c:f>'MLX_R_AVG&amp;SD'!$E$2</c:f>
              <c:strCache>
                <c:ptCount val="1"/>
                <c:pt idx="0">
                  <c:v>MLX-R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dashDot"/>
              </a:ln>
              <a:effectLst/>
            </c:spPr>
          </c:marker>
          <c:val>
            <c:numRef>
              <c:f>'MLX_R_AVG&amp;SD'!$E$3:$E$7</c:f>
              <c:numCache>
                <c:formatCode>General</c:formatCode>
                <c:ptCount val="5"/>
                <c:pt idx="0">
                  <c:v>31.466666666666669</c:v>
                </c:pt>
                <c:pt idx="1">
                  <c:v>28.933333333333334</c:v>
                </c:pt>
                <c:pt idx="2">
                  <c:v>27.866666666666664</c:v>
                </c:pt>
                <c:pt idx="3">
                  <c:v>27.133333333333336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D5-4B92-9808-A32BEE10E168}"/>
            </c:ext>
          </c:extLst>
        </c:ser>
        <c:ser>
          <c:idx val="10"/>
          <c:order val="10"/>
          <c:tx>
            <c:strRef>
              <c:f>'MLX_R_AVG&amp;SD'!$F$2</c:f>
              <c:strCache>
                <c:ptCount val="1"/>
                <c:pt idx="0">
                  <c:v>MLX-R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'MLX_R_AVG&amp;SD'!$F$3:$F$7</c:f>
              <c:numCache>
                <c:formatCode>General</c:formatCode>
                <c:ptCount val="5"/>
                <c:pt idx="0">
                  <c:v>32.779999999999994</c:v>
                </c:pt>
                <c:pt idx="1">
                  <c:v>31.419999999999998</c:v>
                </c:pt>
                <c:pt idx="2">
                  <c:v>29.880000000000003</c:v>
                </c:pt>
                <c:pt idx="3">
                  <c:v>28.4</c:v>
                </c:pt>
                <c:pt idx="4">
                  <c:v>27.080000000000002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D5-4B92-9808-A32BEE10E168}"/>
            </c:ext>
          </c:extLst>
        </c:ser>
        <c:ser>
          <c:idx val="11"/>
          <c:order val="11"/>
          <c:tx>
            <c:strRef>
              <c:f>'MLX_R_AVG&amp;SD'!$G$2</c:f>
              <c:strCache>
                <c:ptCount val="1"/>
                <c:pt idx="0">
                  <c:v>MLX-R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'MLX_R_AVG&amp;SD'!$G$3:$G$7</c:f>
              <c:numCache>
                <c:formatCode>General</c:formatCode>
                <c:ptCount val="5"/>
                <c:pt idx="0">
                  <c:v>32.875</c:v>
                </c:pt>
                <c:pt idx="1">
                  <c:v>30.824999999999996</c:v>
                </c:pt>
                <c:pt idx="2">
                  <c:v>29.875</c:v>
                </c:pt>
                <c:pt idx="3">
                  <c:v>28.974999999999998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D5-4B92-9808-A32BEE10E168}"/>
            </c:ext>
          </c:extLst>
        </c:ser>
        <c:ser>
          <c:idx val="12"/>
          <c:order val="12"/>
          <c:tx>
            <c:strRef>
              <c:f>'MLX_P_AVG&amp;SD'!$B$2</c:f>
              <c:strCache>
                <c:ptCount val="1"/>
                <c:pt idx="0">
                  <c:v>MLX-P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'MLX_P_AVG&amp;SD'!$B$3:$B$7</c:f>
              <c:numCache>
                <c:formatCode>General</c:formatCode>
                <c:ptCount val="5"/>
                <c:pt idx="0">
                  <c:v>29.78</c:v>
                </c:pt>
                <c:pt idx="1">
                  <c:v>26.53</c:v>
                </c:pt>
                <c:pt idx="2">
                  <c:v>24.340000000000003</c:v>
                </c:pt>
                <c:pt idx="3">
                  <c:v>23.1</c:v>
                </c:pt>
                <c:pt idx="4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D5-4B92-9808-A32BEE10E168}"/>
            </c:ext>
          </c:extLst>
        </c:ser>
        <c:ser>
          <c:idx val="13"/>
          <c:order val="13"/>
          <c:tx>
            <c:strRef>
              <c:f>'MLX_P_AVG&amp;SD'!$C$2</c:f>
              <c:strCache>
                <c:ptCount val="1"/>
                <c:pt idx="0">
                  <c:v>MLX-P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'MLX_P_AVG&amp;SD'!$C$3:$C$7</c:f>
              <c:numCache>
                <c:formatCode>General</c:formatCode>
                <c:ptCount val="5"/>
                <c:pt idx="0">
                  <c:v>30.2</c:v>
                </c:pt>
                <c:pt idx="1">
                  <c:v>26.324999999999999</c:v>
                </c:pt>
                <c:pt idx="2">
                  <c:v>24.774999999999999</c:v>
                </c:pt>
                <c:pt idx="3">
                  <c:v>23.05</c:v>
                </c:pt>
                <c:pt idx="4">
                  <c:v>21.574999999999999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DD5-4B92-9808-A32BEE10E168}"/>
            </c:ext>
          </c:extLst>
        </c:ser>
        <c:ser>
          <c:idx val="14"/>
          <c:order val="14"/>
          <c:tx>
            <c:strRef>
              <c:f>'MLX_P_AVG&amp;SD'!$D$2</c:f>
              <c:strCache>
                <c:ptCount val="1"/>
                <c:pt idx="0">
                  <c:v>MLX-P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'MLX_P_AVG&amp;SD'!$D$3:$D$7</c:f>
              <c:numCache>
                <c:formatCode>General</c:formatCode>
                <c:ptCount val="5"/>
                <c:pt idx="0">
                  <c:v>30.733333333333334</c:v>
                </c:pt>
                <c:pt idx="1">
                  <c:v>28.333333333333332</c:v>
                </c:pt>
                <c:pt idx="2">
                  <c:v>26.5</c:v>
                </c:pt>
                <c:pt idx="3">
                  <c:v>25.033333333333331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5-4B92-9808-A32BEE10E168}"/>
            </c:ext>
          </c:extLst>
        </c:ser>
        <c:ser>
          <c:idx val="15"/>
          <c:order val="15"/>
          <c:tx>
            <c:strRef>
              <c:f>'MLX_P_AVG&amp;SD'!$E$2</c:f>
              <c:strCache>
                <c:ptCount val="1"/>
                <c:pt idx="0">
                  <c:v>MLX-P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'MLX_P_AVG&amp;SD'!$E$3:$E$7</c:f>
              <c:numCache>
                <c:formatCode>General</c:formatCode>
                <c:ptCount val="5"/>
                <c:pt idx="0">
                  <c:v>30.459999999999997</c:v>
                </c:pt>
                <c:pt idx="1">
                  <c:v>28.233333333333334</c:v>
                </c:pt>
                <c:pt idx="2">
                  <c:v>27.366666666666664</c:v>
                </c:pt>
                <c:pt idx="3">
                  <c:v>26.3</c:v>
                </c:pt>
                <c:pt idx="4">
                  <c:v>24.433333333333337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DD5-4B92-9808-A32BEE10E168}"/>
            </c:ext>
          </c:extLst>
        </c:ser>
        <c:ser>
          <c:idx val="16"/>
          <c:order val="16"/>
          <c:tx>
            <c:strRef>
              <c:f>'MLX_P_AVG&amp;SD'!$F$2</c:f>
              <c:strCache>
                <c:ptCount val="1"/>
                <c:pt idx="0">
                  <c:v>MLX-P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'MLX_P_AVG&amp;SD'!$F$3:$F$7</c:f>
              <c:numCache>
                <c:formatCode>General</c:formatCode>
                <c:ptCount val="5"/>
                <c:pt idx="0">
                  <c:v>32.1</c:v>
                </c:pt>
                <c:pt idx="1">
                  <c:v>30.82</c:v>
                </c:pt>
                <c:pt idx="2">
                  <c:v>28.96</c:v>
                </c:pt>
                <c:pt idx="3">
                  <c:v>27.639999999999997</c:v>
                </c:pt>
                <c:pt idx="4">
                  <c:v>26.659999999999997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DD5-4B92-9808-A32BEE10E168}"/>
            </c:ext>
          </c:extLst>
        </c:ser>
        <c:ser>
          <c:idx val="17"/>
          <c:order val="17"/>
          <c:tx>
            <c:strRef>
              <c:f>'MLX_P_AVG&amp;SD'!$G$2</c:f>
              <c:strCache>
                <c:ptCount val="1"/>
                <c:pt idx="0">
                  <c:v>MLX-P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'MLX_P_AVG&amp;SD'!$G$3:$G$7</c:f>
              <c:numCache>
                <c:formatCode>General</c:formatCode>
                <c:ptCount val="5"/>
                <c:pt idx="0">
                  <c:v>31.775000000000002</c:v>
                </c:pt>
                <c:pt idx="1">
                  <c:v>29.9</c:v>
                </c:pt>
                <c:pt idx="2">
                  <c:v>29.099999999999998</c:v>
                </c:pt>
                <c:pt idx="3">
                  <c:v>28.324999999999999</c:v>
                </c:pt>
                <c:pt idx="4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DD5-4B92-9808-A32BEE10E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232056"/>
        <c:axId val="915231696"/>
      </c:lineChart>
      <c:catAx>
        <c:axId val="915232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31696"/>
        <c:crosses val="autoZero"/>
        <c:auto val="1"/>
        <c:lblAlgn val="ctr"/>
        <c:lblOffset val="100"/>
        <c:noMultiLvlLbl val="0"/>
      </c:catAx>
      <c:valAx>
        <c:axId val="91523169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3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Reading of all Cameras at Different Ambient Temp when Eye_glasses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'MLX_P_AVG&amp;SD'!$B$12</c:f>
              <c:strCache>
                <c:ptCount val="1"/>
                <c:pt idx="0">
                  <c:v>MLX-P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'MLX_P_AVG&amp;SD'!$B$13:$B$17</c:f>
              <c:numCache>
                <c:formatCode>General</c:formatCode>
                <c:ptCount val="5"/>
                <c:pt idx="0">
                  <c:v>30.2</c:v>
                </c:pt>
                <c:pt idx="1">
                  <c:v>26.764999999999997</c:v>
                </c:pt>
                <c:pt idx="2">
                  <c:v>24.325000000000003</c:v>
                </c:pt>
                <c:pt idx="3">
                  <c:v>23.0825</c:v>
                </c:pt>
                <c:pt idx="4">
                  <c:v>21.837499999999999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8-4C7E-9E04-AF4BF322ECCF}"/>
            </c:ext>
          </c:extLst>
        </c:ser>
        <c:ser>
          <c:idx val="1"/>
          <c:order val="1"/>
          <c:tx>
            <c:strRef>
              <c:f>'MLX_P_AVG&amp;SD'!$C$12</c:f>
              <c:strCache>
                <c:ptCount val="1"/>
                <c:pt idx="0">
                  <c:v>MLX-P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'MLX_P_AVG&amp;SD'!$C$13:$C$17</c:f>
              <c:numCache>
                <c:formatCode>General</c:formatCode>
                <c:ptCount val="5"/>
                <c:pt idx="0">
                  <c:v>30.599999999999998</c:v>
                </c:pt>
                <c:pt idx="1">
                  <c:v>26.785714285714288</c:v>
                </c:pt>
                <c:pt idx="2">
                  <c:v>24.928571428571427</c:v>
                </c:pt>
                <c:pt idx="3">
                  <c:v>23.414285714285715</c:v>
                </c:pt>
                <c:pt idx="4">
                  <c:v>22.271428571428572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8-4C7E-9E04-AF4BF322ECCF}"/>
            </c:ext>
          </c:extLst>
        </c:ser>
        <c:ser>
          <c:idx val="2"/>
          <c:order val="2"/>
          <c:tx>
            <c:strRef>
              <c:f>'MLX_P_AVG&amp;SD'!$D$12</c:f>
              <c:strCache>
                <c:ptCount val="1"/>
                <c:pt idx="0">
                  <c:v>MLX-P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'MLX_P_AVG&amp;SD'!$D$13:$D$17</c:f>
              <c:numCache>
                <c:formatCode>General</c:formatCode>
                <c:ptCount val="5"/>
                <c:pt idx="0">
                  <c:v>30.919999999999998</c:v>
                </c:pt>
                <c:pt idx="1">
                  <c:v>28.02</c:v>
                </c:pt>
                <c:pt idx="2">
                  <c:v>26.32</c:v>
                </c:pt>
                <c:pt idx="3">
                  <c:v>25.02</c:v>
                </c:pt>
                <c:pt idx="4">
                  <c:v>23.02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8-4C7E-9E04-AF4BF322ECCF}"/>
            </c:ext>
          </c:extLst>
        </c:ser>
        <c:ser>
          <c:idx val="3"/>
          <c:order val="3"/>
          <c:tx>
            <c:strRef>
              <c:f>'MLX_P_AVG&amp;SD'!$E$12</c:f>
              <c:strCache>
                <c:ptCount val="1"/>
                <c:pt idx="0">
                  <c:v>MLX-P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'MLX_P_AVG&amp;SD'!$E$13:$E$17</c:f>
              <c:numCache>
                <c:formatCode>General</c:formatCode>
                <c:ptCount val="5"/>
                <c:pt idx="0">
                  <c:v>31.098571428571429</c:v>
                </c:pt>
                <c:pt idx="1">
                  <c:v>28.185714285714287</c:v>
                </c:pt>
                <c:pt idx="2">
                  <c:v>27.000000000000004</c:v>
                </c:pt>
                <c:pt idx="3">
                  <c:v>26.157142857142855</c:v>
                </c:pt>
                <c:pt idx="4">
                  <c:v>24.271428571428572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8-4C7E-9E04-AF4BF322ECCF}"/>
            </c:ext>
          </c:extLst>
        </c:ser>
        <c:ser>
          <c:idx val="4"/>
          <c:order val="4"/>
          <c:tx>
            <c:strRef>
              <c:f>'MLX_P_AVG&amp;SD'!$F$12</c:f>
              <c:strCache>
                <c:ptCount val="1"/>
                <c:pt idx="0">
                  <c:v>MLX-P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'MLX_P_AVG&amp;SD'!$F$13:$F$17</c:f>
              <c:numCache>
                <c:formatCode>General</c:formatCode>
                <c:ptCount val="5"/>
                <c:pt idx="0">
                  <c:v>32.75</c:v>
                </c:pt>
                <c:pt idx="1">
                  <c:v>31.074999999999999</c:v>
                </c:pt>
                <c:pt idx="2">
                  <c:v>29.212500000000002</c:v>
                </c:pt>
                <c:pt idx="3">
                  <c:v>27.787500000000001</c:v>
                </c:pt>
                <c:pt idx="4">
                  <c:v>26.9375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8-4C7E-9E04-AF4BF322ECCF}"/>
            </c:ext>
          </c:extLst>
        </c:ser>
        <c:ser>
          <c:idx val="5"/>
          <c:order val="5"/>
          <c:tx>
            <c:strRef>
              <c:f>'MLX_P_AVG&amp;SD'!$G$12</c:f>
              <c:strCache>
                <c:ptCount val="1"/>
                <c:pt idx="0">
                  <c:v>MLX-P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'MLX_P_AVG&amp;SD'!$G$13:$G$17</c:f>
              <c:numCache>
                <c:formatCode>General</c:formatCode>
                <c:ptCount val="5"/>
                <c:pt idx="0">
                  <c:v>32.4</c:v>
                </c:pt>
                <c:pt idx="1">
                  <c:v>30.56666666666667</c:v>
                </c:pt>
                <c:pt idx="2">
                  <c:v>29.455555555555552</c:v>
                </c:pt>
                <c:pt idx="3">
                  <c:v>28.611111111111111</c:v>
                </c:pt>
                <c:pt idx="4">
                  <c:v>27.599999999999994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8-4C7E-9E04-AF4BF322ECCF}"/>
            </c:ext>
          </c:extLst>
        </c:ser>
        <c:ser>
          <c:idx val="6"/>
          <c:order val="6"/>
          <c:tx>
            <c:strRef>
              <c:f>'MLX_R_AVG&amp;SD'!$B$12</c:f>
              <c:strCache>
                <c:ptCount val="1"/>
                <c:pt idx="0">
                  <c:v>MLX-R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'MLX_R_AVG&amp;SD'!$B$13:$B$17</c:f>
              <c:numCache>
                <c:formatCode>General</c:formatCode>
                <c:ptCount val="5"/>
                <c:pt idx="0">
                  <c:v>30.625</c:v>
                </c:pt>
                <c:pt idx="1">
                  <c:v>27.284999999999997</c:v>
                </c:pt>
                <c:pt idx="2">
                  <c:v>24.95</c:v>
                </c:pt>
                <c:pt idx="3">
                  <c:v>23.462499999999999</c:v>
                </c:pt>
                <c:pt idx="4">
                  <c:v>22.375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8-4C7E-9E04-AF4BF322ECCF}"/>
            </c:ext>
          </c:extLst>
        </c:ser>
        <c:ser>
          <c:idx val="7"/>
          <c:order val="7"/>
          <c:tx>
            <c:strRef>
              <c:f>'MLX_R_AVG&amp;SD'!$C$12</c:f>
              <c:strCache>
                <c:ptCount val="1"/>
                <c:pt idx="0">
                  <c:v>MLX-R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'MLX_R_AVG&amp;SD'!$C$13:$C$17</c:f>
              <c:numCache>
                <c:formatCode>General</c:formatCode>
                <c:ptCount val="5"/>
                <c:pt idx="0">
                  <c:v>31.057142857142853</c:v>
                </c:pt>
                <c:pt idx="1">
                  <c:v>27.428571428571427</c:v>
                </c:pt>
                <c:pt idx="2">
                  <c:v>25.485714285714288</c:v>
                </c:pt>
                <c:pt idx="3">
                  <c:v>23.957142857142856</c:v>
                </c:pt>
                <c:pt idx="4">
                  <c:v>22.614285714285717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8-4C7E-9E04-AF4BF322ECCF}"/>
            </c:ext>
          </c:extLst>
        </c:ser>
        <c:ser>
          <c:idx val="8"/>
          <c:order val="8"/>
          <c:tx>
            <c:strRef>
              <c:f>'MLX_R_AVG&amp;SD'!$D$12</c:f>
              <c:strCache>
                <c:ptCount val="1"/>
                <c:pt idx="0">
                  <c:v>MLX-R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'MLX_R_AVG&amp;SD'!$D$13:$D$17</c:f>
              <c:numCache>
                <c:formatCode>General</c:formatCode>
                <c:ptCount val="5"/>
                <c:pt idx="0">
                  <c:v>31.1</c:v>
                </c:pt>
                <c:pt idx="1">
                  <c:v>28.24</c:v>
                </c:pt>
                <c:pt idx="2">
                  <c:v>26.46</c:v>
                </c:pt>
                <c:pt idx="3">
                  <c:v>24.98</c:v>
                </c:pt>
                <c:pt idx="4">
                  <c:v>23.119999999999997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8-4C7E-9E04-AF4BF322ECCF}"/>
            </c:ext>
          </c:extLst>
        </c:ser>
        <c:ser>
          <c:idx val="9"/>
          <c:order val="9"/>
          <c:tx>
            <c:strRef>
              <c:f>'MLX_R_AVG&amp;SD'!$E$12</c:f>
              <c:strCache>
                <c:ptCount val="1"/>
                <c:pt idx="0">
                  <c:v>MLX-R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'MLX_R_AVG&amp;SD'!$E$13:$E$17</c:f>
              <c:numCache>
                <c:formatCode>General</c:formatCode>
                <c:ptCount val="5"/>
                <c:pt idx="0">
                  <c:v>31.642857142857142</c:v>
                </c:pt>
                <c:pt idx="1">
                  <c:v>28.428571428571427</c:v>
                </c:pt>
                <c:pt idx="2">
                  <c:v>27.214285714285715</c:v>
                </c:pt>
                <c:pt idx="3">
                  <c:v>26.557142857142857</c:v>
                </c:pt>
                <c:pt idx="4">
                  <c:v>24.24285714285714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8-4C7E-9E04-AF4BF322ECCF}"/>
            </c:ext>
          </c:extLst>
        </c:ser>
        <c:ser>
          <c:idx val="10"/>
          <c:order val="10"/>
          <c:tx>
            <c:strRef>
              <c:f>'MLX_R_AVG&amp;SD'!$F$12</c:f>
              <c:strCache>
                <c:ptCount val="1"/>
                <c:pt idx="0">
                  <c:v>MLX-R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lgDash"/>
              </a:ln>
              <a:effectLst/>
            </c:spPr>
          </c:marker>
          <c:val>
            <c:numRef>
              <c:f>'MLX_R_AVG&amp;SD'!$F$13:$F$17</c:f>
              <c:numCache>
                <c:formatCode>General</c:formatCode>
                <c:ptCount val="5"/>
                <c:pt idx="0">
                  <c:v>32.674999999999997</c:v>
                </c:pt>
                <c:pt idx="1">
                  <c:v>31.3</c:v>
                </c:pt>
                <c:pt idx="2">
                  <c:v>29.574999999999996</c:v>
                </c:pt>
                <c:pt idx="3">
                  <c:v>28.024999999999999</c:v>
                </c:pt>
                <c:pt idx="4">
                  <c:v>27.012499999999999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8-4C7E-9E04-AF4BF322ECCF}"/>
            </c:ext>
          </c:extLst>
        </c:ser>
        <c:ser>
          <c:idx val="11"/>
          <c:order val="11"/>
          <c:tx>
            <c:strRef>
              <c:f>'MLX_R_AVG&amp;SD'!$G$12</c:f>
              <c:strCache>
                <c:ptCount val="1"/>
                <c:pt idx="0">
                  <c:v>MLX-R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'MLX_R_AVG&amp;SD'!$G$13:$G$17</c:f>
              <c:numCache>
                <c:formatCode>General</c:formatCode>
                <c:ptCount val="5"/>
                <c:pt idx="0">
                  <c:v>32.711111111111116</c:v>
                </c:pt>
                <c:pt idx="1">
                  <c:v>30.855555555555554</c:v>
                </c:pt>
                <c:pt idx="2">
                  <c:v>29.822222222222219</c:v>
                </c:pt>
                <c:pt idx="3">
                  <c:v>28.93333333333333</c:v>
                </c:pt>
                <c:pt idx="4">
                  <c:v>27.744444444444444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78-4C7E-9E04-AF4BF322ECCF}"/>
            </c:ext>
          </c:extLst>
        </c:ser>
        <c:ser>
          <c:idx val="12"/>
          <c:order val="12"/>
          <c:tx>
            <c:strRef>
              <c:f>'RS_T-10_AVG&amp;SD'!$B$11</c:f>
              <c:strCache>
                <c:ptCount val="1"/>
                <c:pt idx="0">
                  <c:v>RS-T10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'RS_T-10_AVG&amp;SD'!$B$12:$B$16</c:f>
              <c:numCache>
                <c:formatCode>General</c:formatCode>
                <c:ptCount val="5"/>
                <c:pt idx="0">
                  <c:v>30.024999999999999</c:v>
                </c:pt>
                <c:pt idx="1">
                  <c:v>27.987499999999997</c:v>
                </c:pt>
                <c:pt idx="2">
                  <c:v>25.925000000000001</c:v>
                </c:pt>
                <c:pt idx="3">
                  <c:v>23.974999999999998</c:v>
                </c:pt>
                <c:pt idx="4">
                  <c:v>22.462499999999999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78-4C7E-9E04-AF4BF322ECCF}"/>
            </c:ext>
          </c:extLst>
        </c:ser>
        <c:ser>
          <c:idx val="13"/>
          <c:order val="13"/>
          <c:tx>
            <c:strRef>
              <c:f>'RS_T-10_AVG&amp;SD'!$C$11</c:f>
              <c:strCache>
                <c:ptCount val="1"/>
                <c:pt idx="0">
                  <c:v>RS-T10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'RS_T-10_AVG&amp;SD'!$C$12:$C$16</c:f>
              <c:numCache>
                <c:formatCode>General</c:formatCode>
                <c:ptCount val="5"/>
                <c:pt idx="0">
                  <c:v>30.085714285714289</c:v>
                </c:pt>
                <c:pt idx="1">
                  <c:v>27.657142857142855</c:v>
                </c:pt>
                <c:pt idx="2">
                  <c:v>25.857142857142858</c:v>
                </c:pt>
                <c:pt idx="3">
                  <c:v>23.814285714285713</c:v>
                </c:pt>
                <c:pt idx="4">
                  <c:v>22.442857142857147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78-4C7E-9E04-AF4BF322ECCF}"/>
            </c:ext>
          </c:extLst>
        </c:ser>
        <c:ser>
          <c:idx val="14"/>
          <c:order val="14"/>
          <c:tx>
            <c:strRef>
              <c:f>'RS_T-10_AVG&amp;SD'!$D$11</c:f>
              <c:strCache>
                <c:ptCount val="1"/>
                <c:pt idx="0">
                  <c:v>RS-T10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'RS_T-10_AVG&amp;SD'!$D$12:$D$16</c:f>
              <c:numCache>
                <c:formatCode>General</c:formatCode>
                <c:ptCount val="5"/>
                <c:pt idx="0">
                  <c:v>29.54</c:v>
                </c:pt>
                <c:pt idx="1">
                  <c:v>27.919999999999998</c:v>
                </c:pt>
                <c:pt idx="2">
                  <c:v>26.24</c:v>
                </c:pt>
                <c:pt idx="3">
                  <c:v>24.68</c:v>
                </c:pt>
                <c:pt idx="4">
                  <c:v>22.48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78-4C7E-9E04-AF4BF322ECCF}"/>
            </c:ext>
          </c:extLst>
        </c:ser>
        <c:ser>
          <c:idx val="15"/>
          <c:order val="15"/>
          <c:tx>
            <c:strRef>
              <c:f>'RS_T-10_AVG&amp;SD'!$E$11</c:f>
              <c:strCache>
                <c:ptCount val="1"/>
                <c:pt idx="0">
                  <c:v>RS-T10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'RS_T-10_AVG&amp;SD'!$E$12:$E$16</c:f>
              <c:numCache>
                <c:formatCode>General</c:formatCode>
                <c:ptCount val="5"/>
                <c:pt idx="0">
                  <c:v>29.957142857142859</c:v>
                </c:pt>
                <c:pt idx="1">
                  <c:v>28.285714285714285</c:v>
                </c:pt>
                <c:pt idx="2">
                  <c:v>27.185714285714287</c:v>
                </c:pt>
                <c:pt idx="3">
                  <c:v>25.942857142857143</c:v>
                </c:pt>
                <c:pt idx="4">
                  <c:v>24.214285714285715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178-4C7E-9E04-AF4BF322ECCF}"/>
            </c:ext>
          </c:extLst>
        </c:ser>
        <c:ser>
          <c:idx val="16"/>
          <c:order val="16"/>
          <c:tx>
            <c:strRef>
              <c:f>'RS_T-10_AVG&amp;SD'!$F$11</c:f>
              <c:strCache>
                <c:ptCount val="1"/>
                <c:pt idx="0">
                  <c:v>RS-T10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'RS_T-10_AVG&amp;SD'!$F$12:$F$16</c:f>
              <c:numCache>
                <c:formatCode>General</c:formatCode>
                <c:ptCount val="5"/>
                <c:pt idx="0">
                  <c:v>31.462499999999999</c:v>
                </c:pt>
                <c:pt idx="1">
                  <c:v>30.525000000000002</c:v>
                </c:pt>
                <c:pt idx="2">
                  <c:v>28.7</c:v>
                </c:pt>
                <c:pt idx="3">
                  <c:v>27.462499999999999</c:v>
                </c:pt>
                <c:pt idx="4">
                  <c:v>26.324999999999999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78-4C7E-9E04-AF4BF322ECCF}"/>
            </c:ext>
          </c:extLst>
        </c:ser>
        <c:ser>
          <c:idx val="17"/>
          <c:order val="17"/>
          <c:tx>
            <c:strRef>
              <c:f>'RS_T-10_AVG&amp;SD'!$G$11</c:f>
              <c:strCache>
                <c:ptCount val="1"/>
                <c:pt idx="0">
                  <c:v>RS-T10 at  25 degrees 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'RS_T-10_AVG&amp;SD'!$G$12:$G$16</c:f>
              <c:numCache>
                <c:formatCode>General</c:formatCode>
                <c:ptCount val="5"/>
                <c:pt idx="0">
                  <c:v>30.855555555555554</c:v>
                </c:pt>
                <c:pt idx="1">
                  <c:v>29.700000000000003</c:v>
                </c:pt>
                <c:pt idx="2">
                  <c:v>28.666666666666668</c:v>
                </c:pt>
                <c:pt idx="3">
                  <c:v>27.288888888888891</c:v>
                </c:pt>
                <c:pt idx="4">
                  <c:v>26.311111111111114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178-4C7E-9E04-AF4BF322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595408"/>
        <c:axId val="532096616"/>
      </c:lineChart>
      <c:catAx>
        <c:axId val="45659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96616"/>
        <c:crosses val="autoZero"/>
        <c:auto val="1"/>
        <c:lblAlgn val="ctr"/>
        <c:lblOffset val="100"/>
        <c:noMultiLvlLbl val="0"/>
      </c:catAx>
      <c:valAx>
        <c:axId val="5320966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 and SD</a:t>
            </a:r>
            <a:r>
              <a:rPr lang="en-US" sz="1400" baseline="0"/>
              <a:t> of readings at 25 degrees Ambient Temperature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'MLX_P_AVG&amp;SD'!$G$2</c:f>
              <c:strCache>
                <c:ptCount val="1"/>
                <c:pt idx="0">
                  <c:v>MLX-P at  25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plus>
            <c:min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minus>
            <c:spPr>
              <a:noFill/>
              <a:ln w="317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'MLX_P_AVG&amp;SD'!$G$3:$G$7</c:f>
              <c:numCache>
                <c:formatCode>General</c:formatCode>
                <c:ptCount val="5"/>
                <c:pt idx="0">
                  <c:v>31.775000000000002</c:v>
                </c:pt>
                <c:pt idx="1">
                  <c:v>29.9</c:v>
                </c:pt>
                <c:pt idx="2">
                  <c:v>29.099999999999998</c:v>
                </c:pt>
                <c:pt idx="3">
                  <c:v>28.324999999999999</c:v>
                </c:pt>
                <c:pt idx="4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7-4541-A72A-06EA64F1D53F}"/>
            </c:ext>
          </c:extLst>
        </c:ser>
        <c:ser>
          <c:idx val="1"/>
          <c:order val="1"/>
          <c:tx>
            <c:strRef>
              <c:f>'MLX_P_AVG&amp;SD'!$G$12</c:f>
              <c:strCache>
                <c:ptCount val="1"/>
                <c:pt idx="0">
                  <c:v>MLX-P at  25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plus>
            <c:min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'MLX_P_AVG&amp;SD'!$G$13:$G$17</c:f>
              <c:numCache>
                <c:formatCode>General</c:formatCode>
                <c:ptCount val="5"/>
                <c:pt idx="0">
                  <c:v>32.4</c:v>
                </c:pt>
                <c:pt idx="1">
                  <c:v>30.56666666666667</c:v>
                </c:pt>
                <c:pt idx="2">
                  <c:v>29.455555555555552</c:v>
                </c:pt>
                <c:pt idx="3">
                  <c:v>28.611111111111111</c:v>
                </c:pt>
                <c:pt idx="4">
                  <c:v>27.599999999999994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7-4541-A72A-06EA64F1D53F}"/>
            </c:ext>
          </c:extLst>
        </c:ser>
        <c:ser>
          <c:idx val="2"/>
          <c:order val="2"/>
          <c:tx>
            <c:strRef>
              <c:f>'MLX_R_AVG&amp;SD'!$G$2</c:f>
              <c:strCache>
                <c:ptCount val="1"/>
                <c:pt idx="0">
                  <c:v>MLX-R at  25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'MLX_R_AVG&amp;SD'!$O$3:$O$7</c:f>
                <c:numCache>
                  <c:formatCode>General</c:formatCode>
                  <c:ptCount val="5"/>
                  <c:pt idx="0">
                    <c:v>0.33040379335998427</c:v>
                  </c:pt>
                  <c:pt idx="1">
                    <c:v>0.38622100754188105</c:v>
                  </c:pt>
                  <c:pt idx="2">
                    <c:v>0.59090326337452836</c:v>
                  </c:pt>
                  <c:pt idx="3">
                    <c:v>0.44253060157839164</c:v>
                  </c:pt>
                  <c:pt idx="4">
                    <c:v>0.58523499553598213</c:v>
                  </c:pt>
                </c:numCache>
              </c:numRef>
            </c:plus>
            <c:minus>
              <c:numRef>
                <c:f>'MLX_R_AVG&amp;SD'!$O$3:$O$7</c:f>
                <c:numCache>
                  <c:formatCode>General</c:formatCode>
                  <c:ptCount val="5"/>
                  <c:pt idx="0">
                    <c:v>0.33040379335998427</c:v>
                  </c:pt>
                  <c:pt idx="1">
                    <c:v>0.38622100754188105</c:v>
                  </c:pt>
                  <c:pt idx="2">
                    <c:v>0.59090326337452836</c:v>
                  </c:pt>
                  <c:pt idx="3">
                    <c:v>0.44253060157839164</c:v>
                  </c:pt>
                  <c:pt idx="4">
                    <c:v>0.58523499553598213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'MLX_R_AVG&amp;SD'!$G$3:$G$7</c:f>
              <c:numCache>
                <c:formatCode>General</c:formatCode>
                <c:ptCount val="5"/>
                <c:pt idx="0">
                  <c:v>32.875</c:v>
                </c:pt>
                <c:pt idx="1">
                  <c:v>30.824999999999996</c:v>
                </c:pt>
                <c:pt idx="2">
                  <c:v>29.875</c:v>
                </c:pt>
                <c:pt idx="3">
                  <c:v>28.974999999999998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7-4541-A72A-06EA64F1D53F}"/>
            </c:ext>
          </c:extLst>
        </c:ser>
        <c:ser>
          <c:idx val="3"/>
          <c:order val="3"/>
          <c:tx>
            <c:strRef>
              <c:f>'MLX_R_AVG&amp;SD'!$G$12</c:f>
              <c:strCache>
                <c:ptCount val="1"/>
                <c:pt idx="0">
                  <c:v>MLX-R at  25 degrees 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'MLX_R_AVG&amp;SD'!$O$13:$O$17</c:f>
                <c:numCache>
                  <c:formatCode>General</c:formatCode>
                  <c:ptCount val="5"/>
                  <c:pt idx="0">
                    <c:v>0.4106228331584974</c:v>
                  </c:pt>
                  <c:pt idx="1">
                    <c:v>0.66164777470930636</c:v>
                  </c:pt>
                  <c:pt idx="2">
                    <c:v>0.65722480510434489</c:v>
                  </c:pt>
                  <c:pt idx="3">
                    <c:v>0.50249378105604503</c:v>
                  </c:pt>
                  <c:pt idx="4">
                    <c:v>0.69661881813354598</c:v>
                  </c:pt>
                </c:numCache>
              </c:numRef>
            </c:plus>
            <c:minus>
              <c:numRef>
                <c:f>'MLX_R_AVG&amp;SD'!$O$13:$O$17</c:f>
                <c:numCache>
                  <c:formatCode>General</c:formatCode>
                  <c:ptCount val="5"/>
                  <c:pt idx="0">
                    <c:v>0.4106228331584974</c:v>
                  </c:pt>
                  <c:pt idx="1">
                    <c:v>0.66164777470930636</c:v>
                  </c:pt>
                  <c:pt idx="2">
                    <c:v>0.65722480510434489</c:v>
                  </c:pt>
                  <c:pt idx="3">
                    <c:v>0.50249378105604503</c:v>
                  </c:pt>
                  <c:pt idx="4">
                    <c:v>0.69661881813354598</c:v>
                  </c:pt>
                </c:numCache>
              </c:numRef>
            </c:minus>
            <c:spPr>
              <a:noFill/>
              <a:ln w="2857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val>
            <c:numRef>
              <c:f>'MLX_R_AVG&amp;SD'!$G$13:$G$17</c:f>
              <c:numCache>
                <c:formatCode>General</c:formatCode>
                <c:ptCount val="5"/>
                <c:pt idx="0">
                  <c:v>32.711111111111116</c:v>
                </c:pt>
                <c:pt idx="1">
                  <c:v>30.855555555555554</c:v>
                </c:pt>
                <c:pt idx="2">
                  <c:v>29.822222222222219</c:v>
                </c:pt>
                <c:pt idx="3">
                  <c:v>28.93333333333333</c:v>
                </c:pt>
                <c:pt idx="4">
                  <c:v>27.744444444444444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7-4541-A72A-06EA64F1D53F}"/>
            </c:ext>
          </c:extLst>
        </c:ser>
        <c:ser>
          <c:idx val="4"/>
          <c:order val="4"/>
          <c:tx>
            <c:strRef>
              <c:f>'RS_T-10_AVG&amp;SD'!$G$2</c:f>
              <c:strCache>
                <c:ptCount val="1"/>
                <c:pt idx="0">
                  <c:v>RS-T10 at  25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'RS_T-10_AVG&amp;SD'!$O$3:$O$7</c:f>
                <c:numCache>
                  <c:formatCode>General</c:formatCode>
                  <c:ptCount val="5"/>
                  <c:pt idx="0">
                    <c:v>1.1354147553500735</c:v>
                  </c:pt>
                  <c:pt idx="1">
                    <c:v>0.55602757725374208</c:v>
                  </c:pt>
                  <c:pt idx="2">
                    <c:v>1.2909944487358045</c:v>
                  </c:pt>
                  <c:pt idx="3">
                    <c:v>2.1150256105620411</c:v>
                  </c:pt>
                  <c:pt idx="4">
                    <c:v>1.1814539065631513</c:v>
                  </c:pt>
                </c:numCache>
              </c:numRef>
            </c:plus>
            <c:minus>
              <c:numRef>
                <c:f>'RS_T-10_AVG&amp;SD'!$O$3:$O$7</c:f>
                <c:numCache>
                  <c:formatCode>General</c:formatCode>
                  <c:ptCount val="5"/>
                  <c:pt idx="0">
                    <c:v>1.1354147553500735</c:v>
                  </c:pt>
                  <c:pt idx="1">
                    <c:v>0.55602757725374208</c:v>
                  </c:pt>
                  <c:pt idx="2">
                    <c:v>1.2909944487358045</c:v>
                  </c:pt>
                  <c:pt idx="3">
                    <c:v>2.1150256105620411</c:v>
                  </c:pt>
                  <c:pt idx="4">
                    <c:v>1.1814539065631513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'RS_T-10_AVG&amp;SD'!$G$3:$G$7</c:f>
              <c:numCache>
                <c:formatCode>General</c:formatCode>
                <c:ptCount val="5"/>
                <c:pt idx="0">
                  <c:v>30.524999999999999</c:v>
                </c:pt>
                <c:pt idx="1">
                  <c:v>29.625</c:v>
                </c:pt>
                <c:pt idx="2">
                  <c:v>28.5</c:v>
                </c:pt>
                <c:pt idx="3">
                  <c:v>27.3</c:v>
                </c:pt>
                <c:pt idx="4">
                  <c:v>26.274999999999999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C7-4541-A72A-06EA64F1D53F}"/>
            </c:ext>
          </c:extLst>
        </c:ser>
        <c:ser>
          <c:idx val="5"/>
          <c:order val="5"/>
          <c:tx>
            <c:strRef>
              <c:f>'RS_T-10_AVG&amp;SD'!$G$11</c:f>
              <c:strCache>
                <c:ptCount val="1"/>
                <c:pt idx="0">
                  <c:v>RS-T10 at  25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'RS_T-10_AVG&amp;SD'!$O$12:$O$16</c:f>
                <c:numCache>
                  <c:formatCode>General</c:formatCode>
                  <c:ptCount val="5"/>
                  <c:pt idx="0">
                    <c:v>0.68940392933154793</c:v>
                  </c:pt>
                  <c:pt idx="1">
                    <c:v>0.89861003778057158</c:v>
                  </c:pt>
                  <c:pt idx="2">
                    <c:v>0.99624294225856391</c:v>
                  </c:pt>
                  <c:pt idx="3">
                    <c:v>1.2888409952787467</c:v>
                  </c:pt>
                  <c:pt idx="4">
                    <c:v>1.0030509015554057</c:v>
                  </c:pt>
                </c:numCache>
              </c:numRef>
            </c:plus>
            <c:minus>
              <c:numRef>
                <c:f>'RS_T-10_AVG&amp;SD'!$N$12:$N$16</c:f>
                <c:numCache>
                  <c:formatCode>General</c:formatCode>
                  <c:ptCount val="5"/>
                  <c:pt idx="0">
                    <c:v>0.44701390198899721</c:v>
                  </c:pt>
                  <c:pt idx="1">
                    <c:v>0.50355876377184494</c:v>
                  </c:pt>
                  <c:pt idx="2">
                    <c:v>0.61411957886299062</c:v>
                  </c:pt>
                  <c:pt idx="3">
                    <c:v>0.68230177655177948</c:v>
                  </c:pt>
                  <c:pt idx="4">
                    <c:v>0.80133816653324175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'RS_T-10_AVG&amp;SD'!$G$12:$G$16</c:f>
              <c:numCache>
                <c:formatCode>General</c:formatCode>
                <c:ptCount val="5"/>
                <c:pt idx="0">
                  <c:v>30.855555555555554</c:v>
                </c:pt>
                <c:pt idx="1">
                  <c:v>29.700000000000003</c:v>
                </c:pt>
                <c:pt idx="2">
                  <c:v>28.666666666666668</c:v>
                </c:pt>
                <c:pt idx="3">
                  <c:v>27.288888888888891</c:v>
                </c:pt>
                <c:pt idx="4">
                  <c:v>26.311111111111114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C7-4541-A72A-06EA64F1D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461800"/>
        <c:axId val="525462520"/>
      </c:lineChart>
      <c:catAx>
        <c:axId val="525461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</a:t>
                </a:r>
                <a:r>
                  <a:rPr lang="en-US" sz="1400" baseline="0"/>
                  <a:t> Metre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62520"/>
        <c:crosses val="autoZero"/>
        <c:auto val="1"/>
        <c:lblAlgn val="ctr"/>
        <c:lblOffset val="100"/>
        <c:noMultiLvlLbl val="0"/>
      </c:catAx>
      <c:valAx>
        <c:axId val="525462520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6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and SD of readings at 16 degrees Ambient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'MLX_P_AVG&amp;SD'!$B$2</c:f>
              <c:strCache>
                <c:ptCount val="1"/>
                <c:pt idx="0">
                  <c:v>MLX-P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plus>
            <c:min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'MLX_P_AVG&amp;SD'!$B$3:$B$7</c:f>
              <c:numCache>
                <c:formatCode>General</c:formatCode>
                <c:ptCount val="5"/>
                <c:pt idx="0">
                  <c:v>29.78</c:v>
                </c:pt>
                <c:pt idx="1">
                  <c:v>26.53</c:v>
                </c:pt>
                <c:pt idx="2">
                  <c:v>24.340000000000003</c:v>
                </c:pt>
                <c:pt idx="3">
                  <c:v>23.1</c:v>
                </c:pt>
                <c:pt idx="4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E-4BA0-A847-0675DA22B9CB}"/>
            </c:ext>
          </c:extLst>
        </c:ser>
        <c:ser>
          <c:idx val="1"/>
          <c:order val="1"/>
          <c:tx>
            <c:strRef>
              <c:f>'MLX_P_AVG&amp;SD'!$B$12</c:f>
              <c:strCache>
                <c:ptCount val="1"/>
                <c:pt idx="0">
                  <c:v>MLX-P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'MLX_P_AVG&amp;SD'!$J$13:$J$17</c:f>
                <c:numCache>
                  <c:formatCode>General</c:formatCode>
                  <c:ptCount val="5"/>
                  <c:pt idx="0">
                    <c:v>0.44077853201547185</c:v>
                  </c:pt>
                  <c:pt idx="1">
                    <c:v>1.8524346913492755</c:v>
                  </c:pt>
                  <c:pt idx="2">
                    <c:v>0.87952909478392394</c:v>
                  </c:pt>
                  <c:pt idx="3">
                    <c:v>0.58665516763622438</c:v>
                  </c:pt>
                  <c:pt idx="4">
                    <c:v>0.50691644845505412</c:v>
                  </c:pt>
                </c:numCache>
              </c:numRef>
            </c:plus>
            <c:minus>
              <c:numRef>
                <c:f>'MLX_P_AVG&amp;SD'!$J$13:$J$17</c:f>
                <c:numCache>
                  <c:formatCode>General</c:formatCode>
                  <c:ptCount val="5"/>
                  <c:pt idx="0">
                    <c:v>0.44077853201547185</c:v>
                  </c:pt>
                  <c:pt idx="1">
                    <c:v>1.8524346913492755</c:v>
                  </c:pt>
                  <c:pt idx="2">
                    <c:v>0.87952909478392394</c:v>
                  </c:pt>
                  <c:pt idx="3">
                    <c:v>0.58665516763622438</c:v>
                  </c:pt>
                  <c:pt idx="4">
                    <c:v>0.50691644845505412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'MLX_P_AVG&amp;SD'!$B$13:$B$17</c:f>
              <c:numCache>
                <c:formatCode>General</c:formatCode>
                <c:ptCount val="5"/>
                <c:pt idx="0">
                  <c:v>30.2</c:v>
                </c:pt>
                <c:pt idx="1">
                  <c:v>26.764999999999997</c:v>
                </c:pt>
                <c:pt idx="2">
                  <c:v>24.325000000000003</c:v>
                </c:pt>
                <c:pt idx="3">
                  <c:v>23.0825</c:v>
                </c:pt>
                <c:pt idx="4">
                  <c:v>21.837499999999999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E-4BA0-A847-0675DA22B9CB}"/>
            </c:ext>
          </c:extLst>
        </c:ser>
        <c:ser>
          <c:idx val="2"/>
          <c:order val="2"/>
          <c:tx>
            <c:strRef>
              <c:f>'MLX_R_AVG&amp;SD'!$B$2</c:f>
              <c:strCache>
                <c:ptCount val="1"/>
                <c:pt idx="0">
                  <c:v>MLX-R at 16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'MLX_R_AVG&amp;SD'!$J$3:$J$7</c:f>
                <c:numCache>
                  <c:formatCode>General</c:formatCode>
                  <c:ptCount val="5"/>
                  <c:pt idx="0">
                    <c:v>0.79686887252546112</c:v>
                  </c:pt>
                  <c:pt idx="1">
                    <c:v>1.2942179105544787</c:v>
                  </c:pt>
                  <c:pt idx="2">
                    <c:v>0.77781745930520174</c:v>
                  </c:pt>
                  <c:pt idx="3">
                    <c:v>0.54772255750516607</c:v>
                  </c:pt>
                  <c:pt idx="4">
                    <c:v>0.49799598391954947</c:v>
                  </c:pt>
                </c:numCache>
              </c:numRef>
            </c:plus>
            <c:minus>
              <c:numRef>
                <c:f>'MLX_R_AVG&amp;SD'!$J$3:$J$7</c:f>
                <c:numCache>
                  <c:formatCode>General</c:formatCode>
                  <c:ptCount val="5"/>
                  <c:pt idx="0">
                    <c:v>0.79686887252546112</c:v>
                  </c:pt>
                  <c:pt idx="1">
                    <c:v>1.2942179105544787</c:v>
                  </c:pt>
                  <c:pt idx="2">
                    <c:v>0.77781745930520174</c:v>
                  </c:pt>
                  <c:pt idx="3">
                    <c:v>0.54772255750516607</c:v>
                  </c:pt>
                  <c:pt idx="4">
                    <c:v>0.49799598391954947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'MLX_R_AVG&amp;SD'!$B$3:$B$7</c:f>
              <c:numCache>
                <c:formatCode>General</c:formatCode>
                <c:ptCount val="5"/>
                <c:pt idx="0">
                  <c:v>30.2</c:v>
                </c:pt>
                <c:pt idx="1">
                  <c:v>27.1</c:v>
                </c:pt>
                <c:pt idx="2">
                  <c:v>24.6</c:v>
                </c:pt>
                <c:pt idx="3">
                  <c:v>23.1</c:v>
                </c:pt>
                <c:pt idx="4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E-4BA0-A847-0675DA22B9CB}"/>
            </c:ext>
          </c:extLst>
        </c:ser>
        <c:ser>
          <c:idx val="3"/>
          <c:order val="3"/>
          <c:tx>
            <c:strRef>
              <c:f>'MLX_R_AVG&amp;SD'!$B$12</c:f>
              <c:strCache>
                <c:ptCount val="1"/>
                <c:pt idx="0">
                  <c:v>MLX-R at 16 Degrees 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'MLX_R_AVG&amp;SD'!$J$13:$J$17</c:f>
                <c:numCache>
                  <c:formatCode>General</c:formatCode>
                  <c:ptCount val="5"/>
                  <c:pt idx="0">
                    <c:v>0.60415229867972875</c:v>
                  </c:pt>
                  <c:pt idx="1">
                    <c:v>1.3264668430512259</c:v>
                  </c:pt>
                  <c:pt idx="2">
                    <c:v>0.80711125096145897</c:v>
                  </c:pt>
                  <c:pt idx="3">
                    <c:v>0.51530157605591909</c:v>
                  </c:pt>
                  <c:pt idx="4">
                    <c:v>0.91612538131290433</c:v>
                  </c:pt>
                </c:numCache>
              </c:numRef>
            </c:plus>
            <c:minus>
              <c:numRef>
                <c:f>'MLX_R_AVG&amp;SD'!$J$13:$J$17</c:f>
                <c:numCache>
                  <c:formatCode>General</c:formatCode>
                  <c:ptCount val="5"/>
                  <c:pt idx="0">
                    <c:v>0.60415229867972875</c:v>
                  </c:pt>
                  <c:pt idx="1">
                    <c:v>1.3264668430512259</c:v>
                  </c:pt>
                  <c:pt idx="2">
                    <c:v>0.80711125096145897</c:v>
                  </c:pt>
                  <c:pt idx="3">
                    <c:v>0.51530157605591909</c:v>
                  </c:pt>
                  <c:pt idx="4">
                    <c:v>0.91612538131290433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'MLX_R_AVG&amp;SD'!$B$13:$B$17</c:f>
              <c:numCache>
                <c:formatCode>General</c:formatCode>
                <c:ptCount val="5"/>
                <c:pt idx="0">
                  <c:v>30.625</c:v>
                </c:pt>
                <c:pt idx="1">
                  <c:v>27.284999999999997</c:v>
                </c:pt>
                <c:pt idx="2">
                  <c:v>24.95</c:v>
                </c:pt>
                <c:pt idx="3">
                  <c:v>23.462499999999999</c:v>
                </c:pt>
                <c:pt idx="4">
                  <c:v>22.375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4E-4BA0-A847-0675DA22B9CB}"/>
            </c:ext>
          </c:extLst>
        </c:ser>
        <c:ser>
          <c:idx val="4"/>
          <c:order val="4"/>
          <c:tx>
            <c:strRef>
              <c:f>'RS_T-10_AVG&amp;SD'!$B$2</c:f>
              <c:strCache>
                <c:ptCount val="1"/>
                <c:pt idx="0">
                  <c:v>RS-T10 at 16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'RS_T-10_AVG&amp;SD'!$J$3:$J$7</c:f>
                <c:numCache>
                  <c:formatCode>General</c:formatCode>
                  <c:ptCount val="5"/>
                  <c:pt idx="0">
                    <c:v>1.0917875251164944</c:v>
                  </c:pt>
                  <c:pt idx="1">
                    <c:v>1.5501612819316575</c:v>
                  </c:pt>
                  <c:pt idx="2">
                    <c:v>1.0639548862616315</c:v>
                  </c:pt>
                  <c:pt idx="3">
                    <c:v>0.97108187090481735</c:v>
                  </c:pt>
                  <c:pt idx="4">
                    <c:v>0.96176920308356728</c:v>
                  </c:pt>
                </c:numCache>
              </c:numRef>
            </c:plus>
            <c:minus>
              <c:numRef>
                <c:f>'RS_T-10_AVG&amp;SD'!$J$3:$J$7</c:f>
                <c:numCache>
                  <c:formatCode>General</c:formatCode>
                  <c:ptCount val="5"/>
                  <c:pt idx="0">
                    <c:v>1.0917875251164944</c:v>
                  </c:pt>
                  <c:pt idx="1">
                    <c:v>1.5501612819316575</c:v>
                  </c:pt>
                  <c:pt idx="2">
                    <c:v>1.0639548862616315</c:v>
                  </c:pt>
                  <c:pt idx="3">
                    <c:v>0.97108187090481735</c:v>
                  </c:pt>
                  <c:pt idx="4">
                    <c:v>0.96176920308356728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'RS_T-10_AVG&amp;SD'!$B$3:$B$7</c:f>
              <c:numCache>
                <c:formatCode>General</c:formatCode>
                <c:ptCount val="5"/>
                <c:pt idx="0">
                  <c:v>30.22</c:v>
                </c:pt>
                <c:pt idx="1">
                  <c:v>27.839999999999996</c:v>
                </c:pt>
                <c:pt idx="2">
                  <c:v>25.18</c:v>
                </c:pt>
                <c:pt idx="3">
                  <c:v>23.360000000000003</c:v>
                </c:pt>
                <c:pt idx="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4E-4BA0-A847-0675DA22B9CB}"/>
            </c:ext>
          </c:extLst>
        </c:ser>
        <c:ser>
          <c:idx val="5"/>
          <c:order val="5"/>
          <c:tx>
            <c:strRef>
              <c:f>'RS_T-10_AVG&amp;SD'!$B$11</c:f>
              <c:strCache>
                <c:ptCount val="1"/>
                <c:pt idx="0">
                  <c:v>RS-T10 at 16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'RS_T-10_AVG&amp;SD'!$J$12:$J$16</c:f>
                <c:numCache>
                  <c:formatCode>General</c:formatCode>
                  <c:ptCount val="5"/>
                  <c:pt idx="0">
                    <c:v>0.7382411530116697</c:v>
                  </c:pt>
                  <c:pt idx="1">
                    <c:v>1.4257203692970692</c:v>
                  </c:pt>
                  <c:pt idx="2">
                    <c:v>0.4062019202317978</c:v>
                  </c:pt>
                  <c:pt idx="3">
                    <c:v>0.80133816653324175</c:v>
                  </c:pt>
                  <c:pt idx="4">
                    <c:v>1.157506556599758</c:v>
                  </c:pt>
                </c:numCache>
              </c:numRef>
            </c:plus>
            <c:minus>
              <c:numRef>
                <c:f>'RS_T-10_AVG&amp;SD'!$J$12:$J$16</c:f>
                <c:numCache>
                  <c:formatCode>General</c:formatCode>
                  <c:ptCount val="5"/>
                  <c:pt idx="0">
                    <c:v>0.7382411530116697</c:v>
                  </c:pt>
                  <c:pt idx="1">
                    <c:v>1.4257203692970692</c:v>
                  </c:pt>
                  <c:pt idx="2">
                    <c:v>0.4062019202317978</c:v>
                  </c:pt>
                  <c:pt idx="3">
                    <c:v>0.80133816653324175</c:v>
                  </c:pt>
                  <c:pt idx="4">
                    <c:v>1.157506556599758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'RS_T-10_AVG&amp;SD'!$B$12:$B$16</c:f>
              <c:numCache>
                <c:formatCode>General</c:formatCode>
                <c:ptCount val="5"/>
                <c:pt idx="0">
                  <c:v>30.024999999999999</c:v>
                </c:pt>
                <c:pt idx="1">
                  <c:v>27.987499999999997</c:v>
                </c:pt>
                <c:pt idx="2">
                  <c:v>25.925000000000001</c:v>
                </c:pt>
                <c:pt idx="3">
                  <c:v>23.974999999999998</c:v>
                </c:pt>
                <c:pt idx="4">
                  <c:v>22.462499999999999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4E-4BA0-A847-0675DA22B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167728"/>
        <c:axId val="632166288"/>
      </c:lineChart>
      <c:catAx>
        <c:axId val="63216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66288"/>
        <c:crosses val="autoZero"/>
        <c:auto val="1"/>
        <c:lblAlgn val="ctr"/>
        <c:lblOffset val="100"/>
        <c:noMultiLvlLbl val="0"/>
      </c:catAx>
      <c:valAx>
        <c:axId val="6321662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6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Average reading MLX-P with or without Eye-Glasses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887875857623059E-2"/>
          <c:y val="9.2425270686454647E-2"/>
          <c:w val="0.80111746557996044"/>
          <c:h val="0.82354728496107499"/>
        </c:manualLayout>
      </c:layout>
      <c:lineChart>
        <c:grouping val="standard"/>
        <c:varyColors val="0"/>
        <c:ser>
          <c:idx val="0"/>
          <c:order val="0"/>
          <c:tx>
            <c:strRef>
              <c:f>'MLX_P_AVG&amp;SD'!$B$2</c:f>
              <c:strCache>
                <c:ptCount val="1"/>
                <c:pt idx="0">
                  <c:v>MLX-P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plus>
            <c:minus>
              <c:numRef>
                <c:f>'MLX_P_AVG&amp;SD'!$J$3:$J$7</c:f>
                <c:numCache>
                  <c:formatCode>General</c:formatCode>
                  <c:ptCount val="5"/>
                  <c:pt idx="0">
                    <c:v>0.6058052492344389</c:v>
                  </c:pt>
                  <c:pt idx="1">
                    <c:v>2.2359561713056899</c:v>
                  </c:pt>
                  <c:pt idx="2">
                    <c:v>1.2280065146407</c:v>
                  </c:pt>
                  <c:pt idx="3">
                    <c:v>0.82158383625774911</c:v>
                  </c:pt>
                  <c:pt idx="4">
                    <c:v>0.40373258476372692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'MLX_P_AVG&amp;SD'!$B$3:$B$7</c:f>
              <c:numCache>
                <c:formatCode>General</c:formatCode>
                <c:ptCount val="5"/>
                <c:pt idx="0">
                  <c:v>29.78</c:v>
                </c:pt>
                <c:pt idx="1">
                  <c:v>26.53</c:v>
                </c:pt>
                <c:pt idx="2">
                  <c:v>24.340000000000003</c:v>
                </c:pt>
                <c:pt idx="3">
                  <c:v>23.1</c:v>
                </c:pt>
                <c:pt idx="4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44-4FD9-93CE-5B70A829737F}"/>
            </c:ext>
          </c:extLst>
        </c:ser>
        <c:ser>
          <c:idx val="1"/>
          <c:order val="1"/>
          <c:tx>
            <c:strRef>
              <c:f>'MLX_P_AVG&amp;SD'!$B$12</c:f>
              <c:strCache>
                <c:ptCount val="1"/>
                <c:pt idx="0">
                  <c:v>MLX-P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22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val>
            <c:numRef>
              <c:f>'MLX_P_AVG&amp;SD'!$B$13:$B$17</c:f>
              <c:numCache>
                <c:formatCode>General</c:formatCode>
                <c:ptCount val="5"/>
                <c:pt idx="0">
                  <c:v>30.2</c:v>
                </c:pt>
                <c:pt idx="1">
                  <c:v>26.764999999999997</c:v>
                </c:pt>
                <c:pt idx="2">
                  <c:v>24.325000000000003</c:v>
                </c:pt>
                <c:pt idx="3">
                  <c:v>23.0825</c:v>
                </c:pt>
                <c:pt idx="4">
                  <c:v>21.837499999999999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44-4FD9-93CE-5B70A829737F}"/>
            </c:ext>
          </c:extLst>
        </c:ser>
        <c:ser>
          <c:idx val="2"/>
          <c:order val="2"/>
          <c:tx>
            <c:strRef>
              <c:f>'MLX_P_AVG&amp;SD'!$C$2</c:f>
              <c:strCache>
                <c:ptCount val="1"/>
                <c:pt idx="0">
                  <c:v>MLX-P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'MLX_P_AVG&amp;SD'!$K$3:$K$7</c:f>
                <c:numCache>
                  <c:formatCode>General</c:formatCode>
                  <c:ptCount val="5"/>
                  <c:pt idx="0">
                    <c:v>0.8286535263104029</c:v>
                  </c:pt>
                  <c:pt idx="1">
                    <c:v>0.97425184971169843</c:v>
                  </c:pt>
                  <c:pt idx="2">
                    <c:v>0.97425184971169865</c:v>
                  </c:pt>
                  <c:pt idx="3">
                    <c:v>1.3892443989449805</c:v>
                  </c:pt>
                  <c:pt idx="4">
                    <c:v>1.2284814474246917</c:v>
                  </c:pt>
                </c:numCache>
              </c:numRef>
            </c:plus>
            <c:minus>
              <c:numRef>
                <c:f>'MLX_P_AVG&amp;SD'!$K$3:$K$7</c:f>
                <c:numCache>
                  <c:formatCode>General</c:formatCode>
                  <c:ptCount val="5"/>
                  <c:pt idx="0">
                    <c:v>0.8286535263104029</c:v>
                  </c:pt>
                  <c:pt idx="1">
                    <c:v>0.97425184971169843</c:v>
                  </c:pt>
                  <c:pt idx="2">
                    <c:v>0.97425184971169865</c:v>
                  </c:pt>
                  <c:pt idx="3">
                    <c:v>1.3892443989449805</c:v>
                  </c:pt>
                  <c:pt idx="4">
                    <c:v>1.2284814474246917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'MLX_P_AVG&amp;SD'!$C$3:$C$7</c:f>
              <c:numCache>
                <c:formatCode>General</c:formatCode>
                <c:ptCount val="5"/>
                <c:pt idx="0">
                  <c:v>30.2</c:v>
                </c:pt>
                <c:pt idx="1">
                  <c:v>26.324999999999999</c:v>
                </c:pt>
                <c:pt idx="2">
                  <c:v>24.774999999999999</c:v>
                </c:pt>
                <c:pt idx="3">
                  <c:v>23.05</c:v>
                </c:pt>
                <c:pt idx="4">
                  <c:v>21.574999999999999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44-4FD9-93CE-5B70A829737F}"/>
            </c:ext>
          </c:extLst>
        </c:ser>
        <c:ser>
          <c:idx val="3"/>
          <c:order val="3"/>
          <c:tx>
            <c:strRef>
              <c:f>'MLX_P_AVG&amp;SD'!$C$12</c:f>
              <c:strCache>
                <c:ptCount val="1"/>
                <c:pt idx="0">
                  <c:v>MLX-P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222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'MLX_P_AVG&amp;SD'!$C$13:$C$17</c:f>
              <c:numCache>
                <c:formatCode>General</c:formatCode>
                <c:ptCount val="5"/>
                <c:pt idx="0">
                  <c:v>30.599999999999998</c:v>
                </c:pt>
                <c:pt idx="1">
                  <c:v>26.785714285714288</c:v>
                </c:pt>
                <c:pt idx="2">
                  <c:v>24.928571428571427</c:v>
                </c:pt>
                <c:pt idx="3">
                  <c:v>23.414285714285715</c:v>
                </c:pt>
                <c:pt idx="4">
                  <c:v>22.271428571428572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44-4FD9-93CE-5B70A829737F}"/>
            </c:ext>
          </c:extLst>
        </c:ser>
        <c:ser>
          <c:idx val="4"/>
          <c:order val="4"/>
          <c:tx>
            <c:strRef>
              <c:f>'MLX_P_AVG&amp;SD'!$D$2</c:f>
              <c:strCache>
                <c:ptCount val="1"/>
                <c:pt idx="0">
                  <c:v>MLX-P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0.57735026918962584</c:v>
                  </c:pt>
                  <c:pt idx="2">
                    <c:v>0.69999999999999929</c:v>
                  </c:pt>
                  <c:pt idx="3">
                    <c:v>0.68068592855540488</c:v>
                  </c:pt>
                  <c:pt idx="4">
                    <c:v>0.5</c:v>
                  </c:pt>
                </c:numCache>
              </c:numRef>
            </c:plus>
            <c:minus>
              <c:numRef>
                <c:f>'MLX_P_AVG&amp;SD'!$L$3:$L$7</c:f>
                <c:numCache>
                  <c:formatCode>General</c:formatCode>
                  <c:ptCount val="5"/>
                  <c:pt idx="0">
                    <c:v>0.68068592855540488</c:v>
                  </c:pt>
                  <c:pt idx="1">
                    <c:v>0.57735026918962584</c:v>
                  </c:pt>
                  <c:pt idx="2">
                    <c:v>0.69999999999999929</c:v>
                  </c:pt>
                  <c:pt idx="3">
                    <c:v>0.68068592855540488</c:v>
                  </c:pt>
                  <c:pt idx="4">
                    <c:v>0.5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'MLX_P_AVG&amp;SD'!$D$3:$D$7</c:f>
              <c:numCache>
                <c:formatCode>General</c:formatCode>
                <c:ptCount val="5"/>
                <c:pt idx="0">
                  <c:v>30.733333333333334</c:v>
                </c:pt>
                <c:pt idx="1">
                  <c:v>28.333333333333332</c:v>
                </c:pt>
                <c:pt idx="2">
                  <c:v>26.5</c:v>
                </c:pt>
                <c:pt idx="3">
                  <c:v>25.033333333333331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44-4FD9-93CE-5B70A829737F}"/>
            </c:ext>
          </c:extLst>
        </c:ser>
        <c:ser>
          <c:idx val="5"/>
          <c:order val="5"/>
          <c:tx>
            <c:strRef>
              <c:f>'MLX_P_AVG&amp;SD'!$D$12</c:f>
              <c:strCache>
                <c:ptCount val="1"/>
                <c:pt idx="0">
                  <c:v>MLX-P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'MLX_P_AVG&amp;SD'!$L$13:$L$17</c:f>
                <c:numCache>
                  <c:formatCode>General</c:formatCode>
                  <c:ptCount val="5"/>
                  <c:pt idx="0">
                    <c:v>0.47644516998286329</c:v>
                  </c:pt>
                  <c:pt idx="1">
                    <c:v>1.0686440005914037</c:v>
                  </c:pt>
                  <c:pt idx="2">
                    <c:v>0.81670067956381676</c:v>
                  </c:pt>
                  <c:pt idx="3">
                    <c:v>0.59329587896765279</c:v>
                  </c:pt>
                  <c:pt idx="4">
                    <c:v>0.396232255123179</c:v>
                  </c:pt>
                </c:numCache>
              </c:numRef>
            </c:plus>
            <c:minus>
              <c:numRef>
                <c:f>'MLX_P_AVG&amp;SD'!$L$13:$L$17</c:f>
                <c:numCache>
                  <c:formatCode>General</c:formatCode>
                  <c:ptCount val="5"/>
                  <c:pt idx="0">
                    <c:v>0.47644516998286329</c:v>
                  </c:pt>
                  <c:pt idx="1">
                    <c:v>1.0686440005914037</c:v>
                  </c:pt>
                  <c:pt idx="2">
                    <c:v>0.81670067956381676</c:v>
                  </c:pt>
                  <c:pt idx="3">
                    <c:v>0.59329587896765279</c:v>
                  </c:pt>
                  <c:pt idx="4">
                    <c:v>0.396232255123179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val>
            <c:numRef>
              <c:f>'MLX_P_AVG&amp;SD'!$D$13:$D$17</c:f>
              <c:numCache>
                <c:formatCode>General</c:formatCode>
                <c:ptCount val="5"/>
                <c:pt idx="0">
                  <c:v>30.919999999999998</c:v>
                </c:pt>
                <c:pt idx="1">
                  <c:v>28.02</c:v>
                </c:pt>
                <c:pt idx="2">
                  <c:v>26.32</c:v>
                </c:pt>
                <c:pt idx="3">
                  <c:v>25.02</c:v>
                </c:pt>
                <c:pt idx="4">
                  <c:v>23.02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44-4FD9-93CE-5B70A829737F}"/>
            </c:ext>
          </c:extLst>
        </c:ser>
        <c:ser>
          <c:idx val="6"/>
          <c:order val="6"/>
          <c:tx>
            <c:strRef>
              <c:f>'MLX_P_AVG&amp;SD'!$E$2</c:f>
              <c:strCache>
                <c:ptCount val="1"/>
                <c:pt idx="0">
                  <c:v>MLX-P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'MLX_P_AVG&amp;SD'!$M$3:$M$7</c:f>
                <c:numCache>
                  <c:formatCode>General</c:formatCode>
                  <c:ptCount val="5"/>
                  <c:pt idx="0">
                    <c:v>0.64093681435848227</c:v>
                  </c:pt>
                  <c:pt idx="1">
                    <c:v>1.123981020005824</c:v>
                  </c:pt>
                  <c:pt idx="2">
                    <c:v>1.0598742063723103</c:v>
                  </c:pt>
                  <c:pt idx="3">
                    <c:v>1.081665382639196</c:v>
                  </c:pt>
                  <c:pt idx="4">
                    <c:v>1.0692676621563635</c:v>
                  </c:pt>
                </c:numCache>
              </c:numRef>
            </c:plus>
            <c:minus>
              <c:numRef>
                <c:f>'MLX_P_AVG&amp;SD'!$M$3:$M$7</c:f>
                <c:numCache>
                  <c:formatCode>General</c:formatCode>
                  <c:ptCount val="5"/>
                  <c:pt idx="0">
                    <c:v>0.64093681435848227</c:v>
                  </c:pt>
                  <c:pt idx="1">
                    <c:v>1.123981020005824</c:v>
                  </c:pt>
                  <c:pt idx="2">
                    <c:v>1.0598742063723103</c:v>
                  </c:pt>
                  <c:pt idx="3">
                    <c:v>1.081665382639196</c:v>
                  </c:pt>
                  <c:pt idx="4">
                    <c:v>1.0692676621563635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'MLX_P_AVG&amp;SD'!$E$3:$E$7</c:f>
              <c:numCache>
                <c:formatCode>General</c:formatCode>
                <c:ptCount val="5"/>
                <c:pt idx="0">
                  <c:v>30.459999999999997</c:v>
                </c:pt>
                <c:pt idx="1">
                  <c:v>28.233333333333334</c:v>
                </c:pt>
                <c:pt idx="2">
                  <c:v>27.366666666666664</c:v>
                </c:pt>
                <c:pt idx="3">
                  <c:v>26.3</c:v>
                </c:pt>
                <c:pt idx="4">
                  <c:v>24.433333333333337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44-4FD9-93CE-5B70A829737F}"/>
            </c:ext>
          </c:extLst>
        </c:ser>
        <c:ser>
          <c:idx val="7"/>
          <c:order val="7"/>
          <c:tx>
            <c:strRef>
              <c:f>'MLX_P_AVG&amp;SD'!$E$12</c:f>
              <c:strCache>
                <c:ptCount val="1"/>
                <c:pt idx="0">
                  <c:v>MLX-P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'MLX_P_AVG&amp;SD'!$M$13:$M$17</c:f>
                <c:numCache>
                  <c:formatCode>General</c:formatCode>
                  <c:ptCount val="5"/>
                  <c:pt idx="0">
                    <c:v>0.44588862585478278</c:v>
                  </c:pt>
                  <c:pt idx="1">
                    <c:v>0.8795832346439233</c:v>
                  </c:pt>
                  <c:pt idx="2">
                    <c:v>0.48166378315169145</c:v>
                  </c:pt>
                  <c:pt idx="3">
                    <c:v>0.51251016250086856</c:v>
                  </c:pt>
                  <c:pt idx="4">
                    <c:v>0.41190613817551547</c:v>
                  </c:pt>
                </c:numCache>
              </c:numRef>
            </c:plus>
            <c:minus>
              <c:numRef>
                <c:f>'MLX_P_AVG&amp;SD'!$M$13:$M$17</c:f>
                <c:numCache>
                  <c:formatCode>General</c:formatCode>
                  <c:ptCount val="5"/>
                  <c:pt idx="0">
                    <c:v>0.44588862585478278</c:v>
                  </c:pt>
                  <c:pt idx="1">
                    <c:v>0.8795832346439233</c:v>
                  </c:pt>
                  <c:pt idx="2">
                    <c:v>0.48166378315169145</c:v>
                  </c:pt>
                  <c:pt idx="3">
                    <c:v>0.51251016250086856</c:v>
                  </c:pt>
                  <c:pt idx="4">
                    <c:v>0.41190613817551547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val>
            <c:numRef>
              <c:f>'MLX_P_AVG&amp;SD'!$E$13:$E$17</c:f>
              <c:numCache>
                <c:formatCode>General</c:formatCode>
                <c:ptCount val="5"/>
                <c:pt idx="0">
                  <c:v>31.098571428571429</c:v>
                </c:pt>
                <c:pt idx="1">
                  <c:v>28.185714285714287</c:v>
                </c:pt>
                <c:pt idx="2">
                  <c:v>27.000000000000004</c:v>
                </c:pt>
                <c:pt idx="3">
                  <c:v>26.157142857142855</c:v>
                </c:pt>
                <c:pt idx="4">
                  <c:v>24.271428571428572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44-4FD9-93CE-5B70A829737F}"/>
            </c:ext>
          </c:extLst>
        </c:ser>
        <c:ser>
          <c:idx val="8"/>
          <c:order val="8"/>
          <c:tx>
            <c:strRef>
              <c:f>'MLX_P_AVG&amp;SD'!$F$2</c:f>
              <c:strCache>
                <c:ptCount val="1"/>
                <c:pt idx="0">
                  <c:v>MLX-P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'MLX_P_AVG&amp;SD'!$N$3:$N$7</c:f>
                <c:numCache>
                  <c:formatCode>General</c:formatCode>
                  <c:ptCount val="5"/>
                  <c:pt idx="0">
                    <c:v>0.56124860801609178</c:v>
                  </c:pt>
                  <c:pt idx="1">
                    <c:v>0.77910204723129828</c:v>
                  </c:pt>
                  <c:pt idx="2">
                    <c:v>1.0261578825892239</c:v>
                  </c:pt>
                  <c:pt idx="3">
                    <c:v>0.86486993241758625</c:v>
                  </c:pt>
                  <c:pt idx="4">
                    <c:v>0.91268833672837113</c:v>
                  </c:pt>
                </c:numCache>
              </c:numRef>
            </c:plus>
            <c:minus>
              <c:numRef>
                <c:f>'MLX_P_AVG&amp;SD'!$N$3:$N$7</c:f>
                <c:numCache>
                  <c:formatCode>General</c:formatCode>
                  <c:ptCount val="5"/>
                  <c:pt idx="0">
                    <c:v>0.56124860801609178</c:v>
                  </c:pt>
                  <c:pt idx="1">
                    <c:v>0.77910204723129828</c:v>
                  </c:pt>
                  <c:pt idx="2">
                    <c:v>1.0261578825892239</c:v>
                  </c:pt>
                  <c:pt idx="3">
                    <c:v>0.86486993241758625</c:v>
                  </c:pt>
                  <c:pt idx="4">
                    <c:v>0.91268833672837113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'MLX_P_AVG&amp;SD'!$F$3:$F$7</c:f>
              <c:numCache>
                <c:formatCode>General</c:formatCode>
                <c:ptCount val="5"/>
                <c:pt idx="0">
                  <c:v>32.1</c:v>
                </c:pt>
                <c:pt idx="1">
                  <c:v>30.82</c:v>
                </c:pt>
                <c:pt idx="2">
                  <c:v>28.96</c:v>
                </c:pt>
                <c:pt idx="3">
                  <c:v>27.639999999999997</c:v>
                </c:pt>
                <c:pt idx="4">
                  <c:v>26.659999999999997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44-4FD9-93CE-5B70A829737F}"/>
            </c:ext>
          </c:extLst>
        </c:ser>
        <c:ser>
          <c:idx val="9"/>
          <c:order val="9"/>
          <c:tx>
            <c:strRef>
              <c:f>'MLX_P_AVG&amp;SD'!$F$12</c:f>
              <c:strCache>
                <c:ptCount val="1"/>
                <c:pt idx="0">
                  <c:v>MLX-P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'MLX_P_AVG&amp;SD'!$N$13:$N$17</c:f>
                <c:numCache>
                  <c:formatCode>General</c:formatCode>
                  <c:ptCount val="5"/>
                  <c:pt idx="0">
                    <c:v>0.72899147555274624</c:v>
                  </c:pt>
                  <c:pt idx="1">
                    <c:v>0.74976186695700775</c:v>
                  </c:pt>
                  <c:pt idx="2">
                    <c:v>0.93874916777592987</c:v>
                  </c:pt>
                  <c:pt idx="3">
                    <c:v>0.68959097607619146</c:v>
                  </c:pt>
                  <c:pt idx="4">
                    <c:v>0.63005101834239241</c:v>
                  </c:pt>
                </c:numCache>
              </c:numRef>
            </c:plus>
            <c:minus>
              <c:numRef>
                <c:f>'MLX_P_AVG&amp;SD'!$N$13:$N$17</c:f>
                <c:numCache>
                  <c:formatCode>General</c:formatCode>
                  <c:ptCount val="5"/>
                  <c:pt idx="0">
                    <c:v>0.72899147555274624</c:v>
                  </c:pt>
                  <c:pt idx="1">
                    <c:v>0.74976186695700775</c:v>
                  </c:pt>
                  <c:pt idx="2">
                    <c:v>0.93874916777592987</c:v>
                  </c:pt>
                  <c:pt idx="3">
                    <c:v>0.68959097607619146</c:v>
                  </c:pt>
                  <c:pt idx="4">
                    <c:v>0.63005101834239241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5"/>
                </a:solidFill>
                <a:round/>
              </a:ln>
              <a:effectLst/>
            </c:spPr>
          </c:errBars>
          <c:val>
            <c:numRef>
              <c:f>'MLX_P_AVG&amp;SD'!$F$13:$F$17</c:f>
              <c:numCache>
                <c:formatCode>General</c:formatCode>
                <c:ptCount val="5"/>
                <c:pt idx="0">
                  <c:v>32.75</c:v>
                </c:pt>
                <c:pt idx="1">
                  <c:v>31.074999999999999</c:v>
                </c:pt>
                <c:pt idx="2">
                  <c:v>29.212500000000002</c:v>
                </c:pt>
                <c:pt idx="3">
                  <c:v>27.787500000000001</c:v>
                </c:pt>
                <c:pt idx="4">
                  <c:v>26.9375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44-4FD9-93CE-5B70A829737F}"/>
            </c:ext>
          </c:extLst>
        </c:ser>
        <c:ser>
          <c:idx val="10"/>
          <c:order val="10"/>
          <c:tx>
            <c:strRef>
              <c:f>'MLX_P_AVG&amp;SD'!$G$2</c:f>
              <c:strCache>
                <c:ptCount val="1"/>
                <c:pt idx="0">
                  <c:v>MLX-P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plus>
            <c:minus>
              <c:numRef>
                <c:f>'MLX_P_AVG&amp;SD'!$O$3:$O$7</c:f>
                <c:numCache>
                  <c:formatCode>General</c:formatCode>
                  <c:ptCount val="5"/>
                  <c:pt idx="0">
                    <c:v>0.25000000000000072</c:v>
                  </c:pt>
                  <c:pt idx="1">
                    <c:v>0.49665548085837835</c:v>
                  </c:pt>
                  <c:pt idx="2">
                    <c:v>0.84852813742385735</c:v>
                  </c:pt>
                  <c:pt idx="3">
                    <c:v>0.60759087111860544</c:v>
                  </c:pt>
                  <c:pt idx="4">
                    <c:v>0.49999999999999978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'MLX_P_AVG&amp;SD'!$G$3:$G$7</c:f>
              <c:numCache>
                <c:formatCode>General</c:formatCode>
                <c:ptCount val="5"/>
                <c:pt idx="0">
                  <c:v>31.775000000000002</c:v>
                </c:pt>
                <c:pt idx="1">
                  <c:v>29.9</c:v>
                </c:pt>
                <c:pt idx="2">
                  <c:v>29.099999999999998</c:v>
                </c:pt>
                <c:pt idx="3">
                  <c:v>28.324999999999999</c:v>
                </c:pt>
                <c:pt idx="4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044-4FD9-93CE-5B70A829737F}"/>
            </c:ext>
          </c:extLst>
        </c:ser>
        <c:ser>
          <c:idx val="11"/>
          <c:order val="11"/>
          <c:tx>
            <c:strRef>
              <c:f>'MLX_P_AVG&amp;SD'!$G$12</c:f>
              <c:strCache>
                <c:ptCount val="1"/>
                <c:pt idx="0">
                  <c:v>MLX-P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plus>
            <c:minus>
              <c:numRef>
                <c:f>'MLX_P_AVG&amp;SD'!$O$13:$O$17</c:f>
                <c:numCache>
                  <c:formatCode>General</c:formatCode>
                  <c:ptCount val="5"/>
                  <c:pt idx="0">
                    <c:v>0.30822070014844777</c:v>
                  </c:pt>
                  <c:pt idx="1">
                    <c:v>0.50249378105604381</c:v>
                  </c:pt>
                  <c:pt idx="2">
                    <c:v>0.75018516232846022</c:v>
                  </c:pt>
                  <c:pt idx="3">
                    <c:v>0.61734197258173806</c:v>
                  </c:pt>
                  <c:pt idx="4">
                    <c:v>0.71937472849690842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val>
            <c:numRef>
              <c:f>'MLX_P_AVG&amp;SD'!$G$13:$G$17</c:f>
              <c:numCache>
                <c:formatCode>General</c:formatCode>
                <c:ptCount val="5"/>
                <c:pt idx="0">
                  <c:v>32.4</c:v>
                </c:pt>
                <c:pt idx="1">
                  <c:v>30.56666666666667</c:v>
                </c:pt>
                <c:pt idx="2">
                  <c:v>29.455555555555552</c:v>
                </c:pt>
                <c:pt idx="3">
                  <c:v>28.611111111111111</c:v>
                </c:pt>
                <c:pt idx="4">
                  <c:v>27.599999999999994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44-4FD9-93CE-5B70A8297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572656"/>
        <c:axId val="555561856"/>
      </c:lineChart>
      <c:catAx>
        <c:axId val="55557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61856"/>
        <c:crosses val="autoZero"/>
        <c:auto val="1"/>
        <c:lblAlgn val="ctr"/>
        <c:lblOffset val="100"/>
        <c:noMultiLvlLbl val="0"/>
      </c:catAx>
      <c:valAx>
        <c:axId val="5555618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Temparature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7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Average reading  MLX-R with or without Eye-Glasses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399461128605348E-2"/>
          <c:y val="0.10589578872234119"/>
          <c:w val="0.80225379816721576"/>
          <c:h val="0.76502992800418157"/>
        </c:manualLayout>
      </c:layout>
      <c:lineChart>
        <c:grouping val="standard"/>
        <c:varyColors val="0"/>
        <c:ser>
          <c:idx val="0"/>
          <c:order val="0"/>
          <c:tx>
            <c:strRef>
              <c:f>'MLX_R_AVG&amp;SD'!$B$2</c:f>
              <c:strCache>
                <c:ptCount val="1"/>
                <c:pt idx="0">
                  <c:v>MLX-R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'MLX_R_AVG&amp;SD'!$B$3:$B$7</c:f>
              <c:numCache>
                <c:formatCode>General</c:formatCode>
                <c:ptCount val="5"/>
                <c:pt idx="0">
                  <c:v>30.2</c:v>
                </c:pt>
                <c:pt idx="1">
                  <c:v>27.1</c:v>
                </c:pt>
                <c:pt idx="2">
                  <c:v>24.6</c:v>
                </c:pt>
                <c:pt idx="3">
                  <c:v>23.1</c:v>
                </c:pt>
                <c:pt idx="4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9-45A2-BCB7-712CCC47AB62}"/>
            </c:ext>
          </c:extLst>
        </c:ser>
        <c:ser>
          <c:idx val="1"/>
          <c:order val="1"/>
          <c:tx>
            <c:strRef>
              <c:f>'MLX_R_AVG&amp;SD'!$B$12</c:f>
              <c:strCache>
                <c:ptCount val="1"/>
                <c:pt idx="0">
                  <c:v>MLX-R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'MLX_R_AVG&amp;SD'!$B$13:$B$17</c:f>
              <c:numCache>
                <c:formatCode>General</c:formatCode>
                <c:ptCount val="5"/>
                <c:pt idx="0">
                  <c:v>30.625</c:v>
                </c:pt>
                <c:pt idx="1">
                  <c:v>27.284999999999997</c:v>
                </c:pt>
                <c:pt idx="2">
                  <c:v>24.95</c:v>
                </c:pt>
                <c:pt idx="3">
                  <c:v>23.462499999999999</c:v>
                </c:pt>
                <c:pt idx="4">
                  <c:v>22.375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9-45A2-BCB7-712CCC47AB62}"/>
            </c:ext>
          </c:extLst>
        </c:ser>
        <c:ser>
          <c:idx val="2"/>
          <c:order val="2"/>
          <c:tx>
            <c:strRef>
              <c:f>'MLX_R_AVG&amp;SD'!$C$2</c:f>
              <c:strCache>
                <c:ptCount val="1"/>
                <c:pt idx="0">
                  <c:v>MLX-R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'MLX_R_AVG&amp;SD'!$C$3:$C$7</c:f>
              <c:numCache>
                <c:formatCode>General</c:formatCode>
                <c:ptCount val="5"/>
                <c:pt idx="0">
                  <c:v>30.925000000000001</c:v>
                </c:pt>
                <c:pt idx="1">
                  <c:v>26.824999999999999</c:v>
                </c:pt>
                <c:pt idx="2">
                  <c:v>25.225000000000001</c:v>
                </c:pt>
                <c:pt idx="3">
                  <c:v>23.55</c:v>
                </c:pt>
                <c:pt idx="4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1-4884-95E6-09ABE03A49B5}"/>
            </c:ext>
          </c:extLst>
        </c:ser>
        <c:ser>
          <c:idx val="3"/>
          <c:order val="3"/>
          <c:tx>
            <c:strRef>
              <c:f>'MLX_R_AVG&amp;SD'!$C$12</c:f>
              <c:strCache>
                <c:ptCount val="1"/>
                <c:pt idx="0">
                  <c:v>MLX-R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'MLX_R_AVG&amp;SD'!$C$13:$C$17</c:f>
              <c:numCache>
                <c:formatCode>General</c:formatCode>
                <c:ptCount val="5"/>
                <c:pt idx="0">
                  <c:v>31.057142857142853</c:v>
                </c:pt>
                <c:pt idx="1">
                  <c:v>27.428571428571427</c:v>
                </c:pt>
                <c:pt idx="2">
                  <c:v>25.485714285714288</c:v>
                </c:pt>
                <c:pt idx="3">
                  <c:v>23.957142857142856</c:v>
                </c:pt>
                <c:pt idx="4">
                  <c:v>22.614285714285717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1-4884-95E6-09ABE03A49B5}"/>
            </c:ext>
          </c:extLst>
        </c:ser>
        <c:ser>
          <c:idx val="4"/>
          <c:order val="4"/>
          <c:tx>
            <c:strRef>
              <c:f>'MLX_R_AVG&amp;SD'!$D$2</c:f>
              <c:strCache>
                <c:ptCount val="1"/>
                <c:pt idx="0">
                  <c:v>MLX-R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'MLX_R_AVG&amp;SD'!$D$3:$D$7</c:f>
              <c:numCache>
                <c:formatCode>General</c:formatCode>
                <c:ptCount val="5"/>
                <c:pt idx="0">
                  <c:v>31.5</c:v>
                </c:pt>
                <c:pt idx="1">
                  <c:v>29.099999999999998</c:v>
                </c:pt>
                <c:pt idx="2">
                  <c:v>27.2</c:v>
                </c:pt>
                <c:pt idx="3">
                  <c:v>25.833333333333332</c:v>
                </c:pt>
                <c:pt idx="4">
                  <c:v>22.833333333333332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21-4884-95E6-09ABE03A49B5}"/>
            </c:ext>
          </c:extLst>
        </c:ser>
        <c:ser>
          <c:idx val="5"/>
          <c:order val="5"/>
          <c:tx>
            <c:strRef>
              <c:f>'MLX_R_AVG&amp;SD'!$D$12</c:f>
              <c:strCache>
                <c:ptCount val="1"/>
                <c:pt idx="0">
                  <c:v>MLX-R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lgDash"/>
              </a:ln>
              <a:effectLst/>
            </c:spPr>
          </c:marker>
          <c:val>
            <c:numRef>
              <c:f>'MLX_R_AVG&amp;SD'!$D$13:$D$17</c:f>
              <c:numCache>
                <c:formatCode>General</c:formatCode>
                <c:ptCount val="5"/>
                <c:pt idx="0">
                  <c:v>31.1</c:v>
                </c:pt>
                <c:pt idx="1">
                  <c:v>28.24</c:v>
                </c:pt>
                <c:pt idx="2">
                  <c:v>26.46</c:v>
                </c:pt>
                <c:pt idx="3">
                  <c:v>24.98</c:v>
                </c:pt>
                <c:pt idx="4">
                  <c:v>23.119999999999997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21-4884-95E6-09ABE03A49B5}"/>
            </c:ext>
          </c:extLst>
        </c:ser>
        <c:ser>
          <c:idx val="6"/>
          <c:order val="6"/>
          <c:tx>
            <c:strRef>
              <c:f>'MLX_R_AVG&amp;SD'!$E$2</c:f>
              <c:strCache>
                <c:ptCount val="1"/>
                <c:pt idx="0">
                  <c:v>MLX-R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'MLX_R_AVG&amp;SD'!$E$3:$E$7</c:f>
              <c:numCache>
                <c:formatCode>General</c:formatCode>
                <c:ptCount val="5"/>
                <c:pt idx="0">
                  <c:v>31.466666666666669</c:v>
                </c:pt>
                <c:pt idx="1">
                  <c:v>28.933333333333334</c:v>
                </c:pt>
                <c:pt idx="2">
                  <c:v>27.866666666666664</c:v>
                </c:pt>
                <c:pt idx="3">
                  <c:v>27.133333333333336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21-4884-95E6-09ABE03A49B5}"/>
            </c:ext>
          </c:extLst>
        </c:ser>
        <c:ser>
          <c:idx val="7"/>
          <c:order val="7"/>
          <c:tx>
            <c:strRef>
              <c:f>'MLX_R_AVG&amp;SD'!$E$12</c:f>
              <c:strCache>
                <c:ptCount val="1"/>
                <c:pt idx="0">
                  <c:v>MLX-R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'MLX_R_AVG&amp;SD'!$E$13:$E$17</c:f>
              <c:numCache>
                <c:formatCode>General</c:formatCode>
                <c:ptCount val="5"/>
                <c:pt idx="0">
                  <c:v>31.642857142857142</c:v>
                </c:pt>
                <c:pt idx="1">
                  <c:v>28.428571428571427</c:v>
                </c:pt>
                <c:pt idx="2">
                  <c:v>27.214285714285715</c:v>
                </c:pt>
                <c:pt idx="3">
                  <c:v>26.557142857142857</c:v>
                </c:pt>
                <c:pt idx="4">
                  <c:v>24.24285714285714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21-4884-95E6-09ABE03A49B5}"/>
            </c:ext>
          </c:extLst>
        </c:ser>
        <c:ser>
          <c:idx val="8"/>
          <c:order val="8"/>
          <c:tx>
            <c:strRef>
              <c:f>'MLX_R_AVG&amp;SD'!$F$2</c:f>
              <c:strCache>
                <c:ptCount val="1"/>
                <c:pt idx="0">
                  <c:v>MLX-R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'MLX_R_AVG&amp;SD'!$F$3:$F$7</c:f>
              <c:numCache>
                <c:formatCode>General</c:formatCode>
                <c:ptCount val="5"/>
                <c:pt idx="0">
                  <c:v>32.779999999999994</c:v>
                </c:pt>
                <c:pt idx="1">
                  <c:v>31.419999999999998</c:v>
                </c:pt>
                <c:pt idx="2">
                  <c:v>29.880000000000003</c:v>
                </c:pt>
                <c:pt idx="3">
                  <c:v>28.4</c:v>
                </c:pt>
                <c:pt idx="4">
                  <c:v>27.080000000000002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21-4884-95E6-09ABE03A49B5}"/>
            </c:ext>
          </c:extLst>
        </c:ser>
        <c:ser>
          <c:idx val="9"/>
          <c:order val="9"/>
          <c:tx>
            <c:strRef>
              <c:f>'MLX_R_AVG&amp;SD'!$F$12</c:f>
              <c:strCache>
                <c:ptCount val="1"/>
                <c:pt idx="0">
                  <c:v>MLX-R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'MLX_R_AVG&amp;SD'!$F$13:$F$17</c:f>
              <c:numCache>
                <c:formatCode>General</c:formatCode>
                <c:ptCount val="5"/>
                <c:pt idx="0">
                  <c:v>32.674999999999997</c:v>
                </c:pt>
                <c:pt idx="1">
                  <c:v>31.3</c:v>
                </c:pt>
                <c:pt idx="2">
                  <c:v>29.574999999999996</c:v>
                </c:pt>
                <c:pt idx="3">
                  <c:v>28.024999999999999</c:v>
                </c:pt>
                <c:pt idx="4">
                  <c:v>27.012499999999999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21-4884-95E6-09ABE03A49B5}"/>
            </c:ext>
          </c:extLst>
        </c:ser>
        <c:ser>
          <c:idx val="10"/>
          <c:order val="10"/>
          <c:tx>
            <c:strRef>
              <c:f>'MLX_R_AVG&amp;SD'!$G$2</c:f>
              <c:strCache>
                <c:ptCount val="1"/>
                <c:pt idx="0">
                  <c:v>MLX-R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'MLX_R_AVG&amp;SD'!$G$3:$G$7</c:f>
              <c:numCache>
                <c:formatCode>General</c:formatCode>
                <c:ptCount val="5"/>
                <c:pt idx="0">
                  <c:v>32.875</c:v>
                </c:pt>
                <c:pt idx="1">
                  <c:v>30.824999999999996</c:v>
                </c:pt>
                <c:pt idx="2">
                  <c:v>29.875</c:v>
                </c:pt>
                <c:pt idx="3">
                  <c:v>28.974999999999998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21-4884-95E6-09ABE03A49B5}"/>
            </c:ext>
          </c:extLst>
        </c:ser>
        <c:ser>
          <c:idx val="11"/>
          <c:order val="11"/>
          <c:tx>
            <c:strRef>
              <c:f>'MLX_R_AVG&amp;SD'!$G$12</c:f>
              <c:strCache>
                <c:ptCount val="1"/>
                <c:pt idx="0">
                  <c:v>MLX-R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'MLX_R_AVG&amp;SD'!$G$13:$G$17</c:f>
              <c:numCache>
                <c:formatCode>General</c:formatCode>
                <c:ptCount val="5"/>
                <c:pt idx="0">
                  <c:v>32.711111111111116</c:v>
                </c:pt>
                <c:pt idx="1">
                  <c:v>30.855555555555554</c:v>
                </c:pt>
                <c:pt idx="2">
                  <c:v>29.822222222222219</c:v>
                </c:pt>
                <c:pt idx="3">
                  <c:v>28.93333333333333</c:v>
                </c:pt>
                <c:pt idx="4">
                  <c:v>27.744444444444444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21-4884-95E6-09ABE03A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582736"/>
        <c:axId val="555574096"/>
      </c:lineChart>
      <c:catAx>
        <c:axId val="55558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Diatance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74096"/>
        <c:crosses val="autoZero"/>
        <c:auto val="1"/>
        <c:lblAlgn val="ctr"/>
        <c:lblOffset val="100"/>
        <c:noMultiLvlLbl val="0"/>
      </c:catAx>
      <c:valAx>
        <c:axId val="55557409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Temperature</a:t>
                </a:r>
                <a:r>
                  <a:rPr lang="en-US" sz="1400" baseline="0"/>
                  <a:t> in Degree Celsius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8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reading </a:t>
            </a:r>
            <a:r>
              <a:rPr lang="en-US" baseline="0"/>
              <a:t> RS-T10 with or without Eye-Glasses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'RS_T-10_AVG&amp;SD'!$B$2</c:f>
              <c:strCache>
                <c:ptCount val="1"/>
                <c:pt idx="0">
                  <c:v>RS-T10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'RS_T-10_AVG&amp;SD'!$B$3:$B$7</c:f>
              <c:numCache>
                <c:formatCode>General</c:formatCode>
                <c:ptCount val="5"/>
                <c:pt idx="0">
                  <c:v>30.22</c:v>
                </c:pt>
                <c:pt idx="1">
                  <c:v>27.839999999999996</c:v>
                </c:pt>
                <c:pt idx="2">
                  <c:v>25.18</c:v>
                </c:pt>
                <c:pt idx="3">
                  <c:v>23.360000000000003</c:v>
                </c:pt>
                <c:pt idx="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D-4C35-BC24-34535F516CEA}"/>
            </c:ext>
          </c:extLst>
        </c:ser>
        <c:ser>
          <c:idx val="1"/>
          <c:order val="1"/>
          <c:tx>
            <c:strRef>
              <c:f>'RS_T-10_AVG&amp;SD'!$B$11</c:f>
              <c:strCache>
                <c:ptCount val="1"/>
                <c:pt idx="0">
                  <c:v>RS-T10 at 16 Degrees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'RS_T-10_AVG&amp;SD'!$B$12:$B$16</c:f>
              <c:numCache>
                <c:formatCode>General</c:formatCode>
                <c:ptCount val="5"/>
                <c:pt idx="0">
                  <c:v>30.024999999999999</c:v>
                </c:pt>
                <c:pt idx="1">
                  <c:v>27.987499999999997</c:v>
                </c:pt>
                <c:pt idx="2">
                  <c:v>25.925000000000001</c:v>
                </c:pt>
                <c:pt idx="3">
                  <c:v>23.974999999999998</c:v>
                </c:pt>
                <c:pt idx="4">
                  <c:v>22.462499999999999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D-4C35-BC24-34535F516CEA}"/>
            </c:ext>
          </c:extLst>
        </c:ser>
        <c:ser>
          <c:idx val="2"/>
          <c:order val="2"/>
          <c:tx>
            <c:strRef>
              <c:f>'RS_T-10_AVG&amp;SD'!$C$2</c:f>
              <c:strCache>
                <c:ptCount val="1"/>
                <c:pt idx="0">
                  <c:v>RS-T10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'RS_T-10_AVG&amp;SD'!$C$3:$C$7</c:f>
              <c:numCache>
                <c:formatCode>General</c:formatCode>
                <c:ptCount val="5"/>
                <c:pt idx="0">
                  <c:v>29.7</c:v>
                </c:pt>
                <c:pt idx="1">
                  <c:v>27.25</c:v>
                </c:pt>
                <c:pt idx="2">
                  <c:v>25.85</c:v>
                </c:pt>
                <c:pt idx="3">
                  <c:v>23.324999999999999</c:v>
                </c:pt>
                <c:pt idx="4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CD-4C35-BC24-34535F516CEA}"/>
            </c:ext>
          </c:extLst>
        </c:ser>
        <c:ser>
          <c:idx val="3"/>
          <c:order val="3"/>
          <c:tx>
            <c:strRef>
              <c:f>'RS_T-10_AVG&amp;SD'!$C$11</c:f>
              <c:strCache>
                <c:ptCount val="1"/>
                <c:pt idx="0">
                  <c:v>RS-T10 at 18 Degrees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'RS_T-10_AVG&amp;SD'!$C$12:$C$16</c:f>
              <c:numCache>
                <c:formatCode>General</c:formatCode>
                <c:ptCount val="5"/>
                <c:pt idx="0">
                  <c:v>30.085714285714289</c:v>
                </c:pt>
                <c:pt idx="1">
                  <c:v>27.657142857142855</c:v>
                </c:pt>
                <c:pt idx="2">
                  <c:v>25.857142857142858</c:v>
                </c:pt>
                <c:pt idx="3">
                  <c:v>23.814285714285713</c:v>
                </c:pt>
                <c:pt idx="4">
                  <c:v>22.442857142857147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CD-4C35-BC24-34535F516CEA}"/>
            </c:ext>
          </c:extLst>
        </c:ser>
        <c:ser>
          <c:idx val="4"/>
          <c:order val="4"/>
          <c:tx>
            <c:strRef>
              <c:f>'RS_T-10_AVG&amp;SD'!$D$2</c:f>
              <c:strCache>
                <c:ptCount val="1"/>
                <c:pt idx="0">
                  <c:v>RS-T10 at  20 degrees 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'RS_T-10_AVG&amp;SD'!$D$3:$D$7</c:f>
              <c:numCache>
                <c:formatCode>General</c:formatCode>
                <c:ptCount val="5"/>
                <c:pt idx="0">
                  <c:v>30.266666666666666</c:v>
                </c:pt>
                <c:pt idx="1">
                  <c:v>28.733333333333334</c:v>
                </c:pt>
                <c:pt idx="2">
                  <c:v>27.099999999999998</c:v>
                </c:pt>
                <c:pt idx="3">
                  <c:v>25.033333333333331</c:v>
                </c:pt>
                <c:pt idx="4">
                  <c:v>22.433333333333334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CD-4C35-BC24-34535F516CEA}"/>
            </c:ext>
          </c:extLst>
        </c:ser>
        <c:ser>
          <c:idx val="5"/>
          <c:order val="5"/>
          <c:tx>
            <c:strRef>
              <c:f>'RS_T-10_AVG&amp;SD'!$D$11</c:f>
              <c:strCache>
                <c:ptCount val="1"/>
                <c:pt idx="0">
                  <c:v>RS-T10 at  20 degrees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'RS_T-10_AVG&amp;SD'!$D$12:$D$16</c:f>
              <c:numCache>
                <c:formatCode>General</c:formatCode>
                <c:ptCount val="5"/>
                <c:pt idx="0">
                  <c:v>29.54</c:v>
                </c:pt>
                <c:pt idx="1">
                  <c:v>27.919999999999998</c:v>
                </c:pt>
                <c:pt idx="2">
                  <c:v>26.24</c:v>
                </c:pt>
                <c:pt idx="3">
                  <c:v>24.68</c:v>
                </c:pt>
                <c:pt idx="4">
                  <c:v>22.48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CD-4C35-BC24-34535F516CEA}"/>
            </c:ext>
          </c:extLst>
        </c:ser>
        <c:ser>
          <c:idx val="6"/>
          <c:order val="6"/>
          <c:tx>
            <c:strRef>
              <c:f>'RS_T-10_AVG&amp;SD'!$E$2</c:f>
              <c:strCache>
                <c:ptCount val="1"/>
                <c:pt idx="0">
                  <c:v>RS-T10 at  22 degrees 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'RS_T-10_AVG&amp;SD'!$E$3:$E$7</c:f>
              <c:numCache>
                <c:formatCode>General</c:formatCode>
                <c:ptCount val="5"/>
                <c:pt idx="0">
                  <c:v>29.966666666666669</c:v>
                </c:pt>
                <c:pt idx="1">
                  <c:v>28.8</c:v>
                </c:pt>
                <c:pt idx="2">
                  <c:v>27.766666666666666</c:v>
                </c:pt>
                <c:pt idx="3">
                  <c:v>26.866666666666664</c:v>
                </c:pt>
                <c:pt idx="4">
                  <c:v>24.733333333333334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CD-4C35-BC24-34535F516CEA}"/>
            </c:ext>
          </c:extLst>
        </c:ser>
        <c:ser>
          <c:idx val="7"/>
          <c:order val="7"/>
          <c:tx>
            <c:strRef>
              <c:f>'RS_T-10_AVG&amp;SD'!$E$11</c:f>
              <c:strCache>
                <c:ptCount val="1"/>
                <c:pt idx="0">
                  <c:v>RS-T10 at  22 degrees 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'RS_T-10_AVG&amp;SD'!$E$12:$E$16</c:f>
              <c:numCache>
                <c:formatCode>General</c:formatCode>
                <c:ptCount val="5"/>
                <c:pt idx="0">
                  <c:v>29.957142857142859</c:v>
                </c:pt>
                <c:pt idx="1">
                  <c:v>28.285714285714285</c:v>
                </c:pt>
                <c:pt idx="2">
                  <c:v>27.185714285714287</c:v>
                </c:pt>
                <c:pt idx="3">
                  <c:v>25.942857142857143</c:v>
                </c:pt>
                <c:pt idx="4">
                  <c:v>24.214285714285715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CD-4C35-BC24-34535F516CEA}"/>
            </c:ext>
          </c:extLst>
        </c:ser>
        <c:ser>
          <c:idx val="8"/>
          <c:order val="8"/>
          <c:tx>
            <c:strRef>
              <c:f>'RS_T-10_AVG&amp;SD'!$F$2</c:f>
              <c:strCache>
                <c:ptCount val="1"/>
                <c:pt idx="0">
                  <c:v>RS-T10 at  24 degrees 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'RS_T-10_AVG&amp;SD'!$F$3:$F$7</c:f>
              <c:numCache>
                <c:formatCode>General</c:formatCode>
                <c:ptCount val="5"/>
                <c:pt idx="0">
                  <c:v>31.620000000000005</c:v>
                </c:pt>
                <c:pt idx="1">
                  <c:v>30.584615384615383</c:v>
                </c:pt>
                <c:pt idx="2">
                  <c:v>28.876923076923074</c:v>
                </c:pt>
                <c:pt idx="3">
                  <c:v>27.438461538461542</c:v>
                </c:pt>
                <c:pt idx="4">
                  <c:v>26.353846153846156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CD-4C35-BC24-34535F516CEA}"/>
            </c:ext>
          </c:extLst>
        </c:ser>
        <c:ser>
          <c:idx val="9"/>
          <c:order val="9"/>
          <c:tx>
            <c:strRef>
              <c:f>'RS_T-10_AVG&amp;SD'!$F$11</c:f>
              <c:strCache>
                <c:ptCount val="1"/>
                <c:pt idx="0">
                  <c:v>RS-T10 at  24 degrees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'RS_T-10_AVG&amp;SD'!$F$12:$F$16</c:f>
              <c:numCache>
                <c:formatCode>General</c:formatCode>
                <c:ptCount val="5"/>
                <c:pt idx="0">
                  <c:v>31.462499999999999</c:v>
                </c:pt>
                <c:pt idx="1">
                  <c:v>30.525000000000002</c:v>
                </c:pt>
                <c:pt idx="2">
                  <c:v>28.7</c:v>
                </c:pt>
                <c:pt idx="3">
                  <c:v>27.462499999999999</c:v>
                </c:pt>
                <c:pt idx="4">
                  <c:v>26.324999999999999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CD-4C35-BC24-34535F516CEA}"/>
            </c:ext>
          </c:extLst>
        </c:ser>
        <c:ser>
          <c:idx val="10"/>
          <c:order val="10"/>
          <c:tx>
            <c:strRef>
              <c:f>'RS_T-10_AVG&amp;SD'!$G$2</c:f>
              <c:strCache>
                <c:ptCount val="1"/>
                <c:pt idx="0">
                  <c:v>RS-T10 at  25 degrees 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'RS_T-10_AVG&amp;SD'!$G$3:$G$7</c:f>
              <c:numCache>
                <c:formatCode>General</c:formatCode>
                <c:ptCount val="5"/>
                <c:pt idx="0">
                  <c:v>30.524999999999999</c:v>
                </c:pt>
                <c:pt idx="1">
                  <c:v>29.625</c:v>
                </c:pt>
                <c:pt idx="2">
                  <c:v>28.5</c:v>
                </c:pt>
                <c:pt idx="3">
                  <c:v>27.3</c:v>
                </c:pt>
                <c:pt idx="4">
                  <c:v>26.274999999999999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CD-4C35-BC24-34535F516CEA}"/>
            </c:ext>
          </c:extLst>
        </c:ser>
        <c:ser>
          <c:idx val="11"/>
          <c:order val="11"/>
          <c:tx>
            <c:strRef>
              <c:f>'RS_T-10_AVG&amp;SD'!$G$11</c:f>
              <c:strCache>
                <c:ptCount val="1"/>
                <c:pt idx="0">
                  <c:v>RS-T10 at  25 degrees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'RS_T-10_AVG&amp;SD'!$G$12:$G$16</c:f>
              <c:numCache>
                <c:formatCode>General</c:formatCode>
                <c:ptCount val="5"/>
                <c:pt idx="0">
                  <c:v>30.855555555555554</c:v>
                </c:pt>
                <c:pt idx="1">
                  <c:v>29.700000000000003</c:v>
                </c:pt>
                <c:pt idx="2">
                  <c:v>28.666666666666668</c:v>
                </c:pt>
                <c:pt idx="3">
                  <c:v>27.288888888888891</c:v>
                </c:pt>
                <c:pt idx="4">
                  <c:v>26.311111111111114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CD-4C35-BC24-34535F516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19216"/>
        <c:axId val="528523536"/>
      </c:lineChart>
      <c:catAx>
        <c:axId val="52851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</a:t>
                </a:r>
                <a:r>
                  <a:rPr lang="en-US" sz="1400" baseline="0"/>
                  <a:t> In Metre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23536"/>
        <c:crosses val="autoZero"/>
        <c:auto val="1"/>
        <c:lblAlgn val="ctr"/>
        <c:lblOffset val="100"/>
        <c:noMultiLvlLbl val="0"/>
      </c:catAx>
      <c:valAx>
        <c:axId val="5285235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Temparature</a:t>
                </a:r>
                <a:r>
                  <a:rPr lang="en-US" sz="1400" baseline="0"/>
                  <a:t> in Degree Celsius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1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876307380006501E-2"/>
          <c:y val="7.4521627924089742E-2"/>
          <c:w val="0.81481908794633295"/>
          <c:h val="0.85761073748599681"/>
        </c:manualLayout>
      </c:layout>
      <c:lineChart>
        <c:grouping val="standard"/>
        <c:varyColors val="0"/>
        <c:ser>
          <c:idx val="0"/>
          <c:order val="0"/>
          <c:tx>
            <c:strRef>
              <c:f>'RS_T-10_AVG&amp;SD'!$B$2</c:f>
              <c:strCache>
                <c:ptCount val="1"/>
                <c:pt idx="0">
                  <c:v>RS-T10 at 16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'RS_T-10_AVG&amp;SD'!$B$3:$B$7</c:f>
              <c:numCache>
                <c:formatCode>General</c:formatCode>
                <c:ptCount val="5"/>
                <c:pt idx="0">
                  <c:v>30.22</c:v>
                </c:pt>
                <c:pt idx="1">
                  <c:v>27.839999999999996</c:v>
                </c:pt>
                <c:pt idx="2">
                  <c:v>25.18</c:v>
                </c:pt>
                <c:pt idx="3">
                  <c:v>23.360000000000003</c:v>
                </c:pt>
                <c:pt idx="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2-40EC-9BA2-51944698D57E}"/>
            </c:ext>
          </c:extLst>
        </c:ser>
        <c:ser>
          <c:idx val="1"/>
          <c:order val="1"/>
          <c:tx>
            <c:strRef>
              <c:f>'RS_T-10_AVG&amp;SD'!$C$2</c:f>
              <c:strCache>
                <c:ptCount val="1"/>
                <c:pt idx="0">
                  <c:v>RS-T10 at 18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'RS_T-10_AVG&amp;SD'!$C$3:$C$7</c:f>
              <c:numCache>
                <c:formatCode>General</c:formatCode>
                <c:ptCount val="5"/>
                <c:pt idx="0">
                  <c:v>29.7</c:v>
                </c:pt>
                <c:pt idx="1">
                  <c:v>27.25</c:v>
                </c:pt>
                <c:pt idx="2">
                  <c:v>25.85</c:v>
                </c:pt>
                <c:pt idx="3">
                  <c:v>23.324999999999999</c:v>
                </c:pt>
                <c:pt idx="4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2-40EC-9BA2-51944698D57E}"/>
            </c:ext>
          </c:extLst>
        </c:ser>
        <c:ser>
          <c:idx val="2"/>
          <c:order val="2"/>
          <c:tx>
            <c:strRef>
              <c:f>'RS_T-10_AVG&amp;SD'!$D$2</c:f>
              <c:strCache>
                <c:ptCount val="1"/>
                <c:pt idx="0">
                  <c:v>RS-T10 at  20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'RS_T-10_AVG&amp;SD'!$D$3:$D$7</c:f>
              <c:numCache>
                <c:formatCode>General</c:formatCode>
                <c:ptCount val="5"/>
                <c:pt idx="0">
                  <c:v>30.266666666666666</c:v>
                </c:pt>
                <c:pt idx="1">
                  <c:v>28.733333333333334</c:v>
                </c:pt>
                <c:pt idx="2">
                  <c:v>27.099999999999998</c:v>
                </c:pt>
                <c:pt idx="3">
                  <c:v>25.033333333333331</c:v>
                </c:pt>
                <c:pt idx="4">
                  <c:v>22.433333333333334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2-40EC-9BA2-51944698D57E}"/>
            </c:ext>
          </c:extLst>
        </c:ser>
        <c:ser>
          <c:idx val="3"/>
          <c:order val="3"/>
          <c:tx>
            <c:strRef>
              <c:f>'RS_T-10_AVG&amp;SD'!$E$2</c:f>
              <c:strCache>
                <c:ptCount val="1"/>
                <c:pt idx="0">
                  <c:v>RS-T10 at  22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'RS_T-10_AVG&amp;SD'!$E$3:$E$7</c:f>
              <c:numCache>
                <c:formatCode>General</c:formatCode>
                <c:ptCount val="5"/>
                <c:pt idx="0">
                  <c:v>29.966666666666669</c:v>
                </c:pt>
                <c:pt idx="1">
                  <c:v>28.8</c:v>
                </c:pt>
                <c:pt idx="2">
                  <c:v>27.766666666666666</c:v>
                </c:pt>
                <c:pt idx="3">
                  <c:v>26.866666666666664</c:v>
                </c:pt>
                <c:pt idx="4">
                  <c:v>24.733333333333334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72-40EC-9BA2-51944698D57E}"/>
            </c:ext>
          </c:extLst>
        </c:ser>
        <c:ser>
          <c:idx val="4"/>
          <c:order val="4"/>
          <c:tx>
            <c:strRef>
              <c:f>'RS_T-10_AVG&amp;SD'!$F$2</c:f>
              <c:strCache>
                <c:ptCount val="1"/>
                <c:pt idx="0">
                  <c:v>RS-T10 at  24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beve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'RS_T-10_AVG&amp;SD'!$F$3:$F$7</c:f>
              <c:numCache>
                <c:formatCode>General</c:formatCode>
                <c:ptCount val="5"/>
                <c:pt idx="0">
                  <c:v>31.620000000000005</c:v>
                </c:pt>
                <c:pt idx="1">
                  <c:v>30.584615384615383</c:v>
                </c:pt>
                <c:pt idx="2">
                  <c:v>28.876923076923074</c:v>
                </c:pt>
                <c:pt idx="3">
                  <c:v>27.438461538461542</c:v>
                </c:pt>
                <c:pt idx="4">
                  <c:v>26.353846153846156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72-40EC-9BA2-51944698D57E}"/>
            </c:ext>
          </c:extLst>
        </c:ser>
        <c:ser>
          <c:idx val="5"/>
          <c:order val="5"/>
          <c:tx>
            <c:strRef>
              <c:f>'RS_T-10_AVG&amp;SD'!$G$2</c:f>
              <c:strCache>
                <c:ptCount val="1"/>
                <c:pt idx="0">
                  <c:v>RS-T10 at  25 degrees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'RS_T-10_AVG&amp;SD'!$G$3:$G$7</c:f>
              <c:numCache>
                <c:formatCode>General</c:formatCode>
                <c:ptCount val="5"/>
                <c:pt idx="0">
                  <c:v>30.524999999999999</c:v>
                </c:pt>
                <c:pt idx="1">
                  <c:v>29.625</c:v>
                </c:pt>
                <c:pt idx="2">
                  <c:v>28.5</c:v>
                </c:pt>
                <c:pt idx="3">
                  <c:v>27.3</c:v>
                </c:pt>
                <c:pt idx="4">
                  <c:v>26.274999999999999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72-40EC-9BA2-51944698D57E}"/>
            </c:ext>
          </c:extLst>
        </c:ser>
        <c:ser>
          <c:idx val="6"/>
          <c:order val="6"/>
          <c:tx>
            <c:strRef>
              <c:f>'MLX_R_AVG&amp;SD'!$B$2</c:f>
              <c:strCache>
                <c:ptCount val="1"/>
                <c:pt idx="0">
                  <c:v>MLX-R at 16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'MLX_R_AVG&amp;SD'!$B$3:$B$7</c:f>
              <c:numCache>
                <c:formatCode>General</c:formatCode>
                <c:ptCount val="5"/>
                <c:pt idx="0">
                  <c:v>30.2</c:v>
                </c:pt>
                <c:pt idx="1">
                  <c:v>27.1</c:v>
                </c:pt>
                <c:pt idx="2">
                  <c:v>24.6</c:v>
                </c:pt>
                <c:pt idx="3">
                  <c:v>23.1</c:v>
                </c:pt>
                <c:pt idx="4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72-40EC-9BA2-51944698D57E}"/>
            </c:ext>
          </c:extLst>
        </c:ser>
        <c:ser>
          <c:idx val="7"/>
          <c:order val="7"/>
          <c:tx>
            <c:strRef>
              <c:f>'MLX_R_AVG&amp;SD'!$C$2</c:f>
              <c:strCache>
                <c:ptCount val="1"/>
                <c:pt idx="0">
                  <c:v>MLX-R at 18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'MLX_R_AVG&amp;SD'!$C$3:$C$7</c:f>
              <c:numCache>
                <c:formatCode>General</c:formatCode>
                <c:ptCount val="5"/>
                <c:pt idx="0">
                  <c:v>30.925000000000001</c:v>
                </c:pt>
                <c:pt idx="1">
                  <c:v>26.824999999999999</c:v>
                </c:pt>
                <c:pt idx="2">
                  <c:v>25.225000000000001</c:v>
                </c:pt>
                <c:pt idx="3">
                  <c:v>23.55</c:v>
                </c:pt>
                <c:pt idx="4">
                  <c:v>21.85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72-40EC-9BA2-51944698D57E}"/>
            </c:ext>
          </c:extLst>
        </c:ser>
        <c:ser>
          <c:idx val="8"/>
          <c:order val="8"/>
          <c:tx>
            <c:strRef>
              <c:f>'MLX_R_AVG&amp;SD'!$D$2</c:f>
              <c:strCache>
                <c:ptCount val="1"/>
                <c:pt idx="0">
                  <c:v>MLX-R at  20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'MLX_R_AVG&amp;SD'!$D$3:$D$7</c:f>
              <c:numCache>
                <c:formatCode>General</c:formatCode>
                <c:ptCount val="5"/>
                <c:pt idx="0">
                  <c:v>31.5</c:v>
                </c:pt>
                <c:pt idx="1">
                  <c:v>29.099999999999998</c:v>
                </c:pt>
                <c:pt idx="2">
                  <c:v>27.2</c:v>
                </c:pt>
                <c:pt idx="3">
                  <c:v>25.833333333333332</c:v>
                </c:pt>
                <c:pt idx="4">
                  <c:v>22.833333333333332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72-40EC-9BA2-51944698D57E}"/>
            </c:ext>
          </c:extLst>
        </c:ser>
        <c:ser>
          <c:idx val="9"/>
          <c:order val="9"/>
          <c:tx>
            <c:strRef>
              <c:f>'MLX_R_AVG&amp;SD'!$E$2</c:f>
              <c:strCache>
                <c:ptCount val="1"/>
                <c:pt idx="0">
                  <c:v>MLX-R at  22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dashDot"/>
              </a:ln>
              <a:effectLst/>
            </c:spPr>
          </c:marker>
          <c:val>
            <c:numRef>
              <c:f>'MLX_R_AVG&amp;SD'!$E$3:$E$7</c:f>
              <c:numCache>
                <c:formatCode>General</c:formatCode>
                <c:ptCount val="5"/>
                <c:pt idx="0">
                  <c:v>31.466666666666669</c:v>
                </c:pt>
                <c:pt idx="1">
                  <c:v>28.933333333333334</c:v>
                </c:pt>
                <c:pt idx="2">
                  <c:v>27.866666666666664</c:v>
                </c:pt>
                <c:pt idx="3">
                  <c:v>27.133333333333336</c:v>
                </c:pt>
                <c:pt idx="4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72-40EC-9BA2-51944698D57E}"/>
            </c:ext>
          </c:extLst>
        </c:ser>
        <c:ser>
          <c:idx val="10"/>
          <c:order val="10"/>
          <c:tx>
            <c:strRef>
              <c:f>'MLX_R_AVG&amp;SD'!$F$2</c:f>
              <c:strCache>
                <c:ptCount val="1"/>
                <c:pt idx="0">
                  <c:v>MLX-R at  24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'MLX_R_AVG&amp;SD'!$F$3:$F$7</c:f>
              <c:numCache>
                <c:formatCode>General</c:formatCode>
                <c:ptCount val="5"/>
                <c:pt idx="0">
                  <c:v>32.779999999999994</c:v>
                </c:pt>
                <c:pt idx="1">
                  <c:v>31.419999999999998</c:v>
                </c:pt>
                <c:pt idx="2">
                  <c:v>29.880000000000003</c:v>
                </c:pt>
                <c:pt idx="3">
                  <c:v>28.4</c:v>
                </c:pt>
                <c:pt idx="4">
                  <c:v>27.080000000000002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72-40EC-9BA2-51944698D57E}"/>
            </c:ext>
          </c:extLst>
        </c:ser>
        <c:ser>
          <c:idx val="11"/>
          <c:order val="11"/>
          <c:tx>
            <c:strRef>
              <c:f>'MLX_R_AVG&amp;SD'!$G$2</c:f>
              <c:strCache>
                <c:ptCount val="1"/>
                <c:pt idx="0">
                  <c:v>MLX-R at  25 degrees 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'MLX_R_AVG&amp;SD'!$G$3:$G$7</c:f>
              <c:numCache>
                <c:formatCode>General</c:formatCode>
                <c:ptCount val="5"/>
                <c:pt idx="0">
                  <c:v>32.875</c:v>
                </c:pt>
                <c:pt idx="1">
                  <c:v>30.824999999999996</c:v>
                </c:pt>
                <c:pt idx="2">
                  <c:v>29.875</c:v>
                </c:pt>
                <c:pt idx="3">
                  <c:v>28.974999999999998</c:v>
                </c:pt>
                <c:pt idx="4">
                  <c:v>28.125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72-40EC-9BA2-51944698D57E}"/>
            </c:ext>
          </c:extLst>
        </c:ser>
        <c:ser>
          <c:idx val="12"/>
          <c:order val="12"/>
          <c:tx>
            <c:strRef>
              <c:f>'MLX_P_AVG&amp;SD'!$B$2</c:f>
              <c:strCache>
                <c:ptCount val="1"/>
                <c:pt idx="0">
                  <c:v>MLX-P at 16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'MLX_P_AVG&amp;SD'!$B$3:$B$7</c:f>
              <c:numCache>
                <c:formatCode>General</c:formatCode>
                <c:ptCount val="5"/>
                <c:pt idx="0">
                  <c:v>29.78</c:v>
                </c:pt>
                <c:pt idx="1">
                  <c:v>26.53</c:v>
                </c:pt>
                <c:pt idx="2">
                  <c:v>24.340000000000003</c:v>
                </c:pt>
                <c:pt idx="3">
                  <c:v>23.1</c:v>
                </c:pt>
                <c:pt idx="4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72-40EC-9BA2-51944698D57E}"/>
            </c:ext>
          </c:extLst>
        </c:ser>
        <c:ser>
          <c:idx val="13"/>
          <c:order val="13"/>
          <c:tx>
            <c:strRef>
              <c:f>'MLX_P_AVG&amp;SD'!$C$2</c:f>
              <c:strCache>
                <c:ptCount val="1"/>
                <c:pt idx="0">
                  <c:v>MLX-P at 18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'MLX_P_AVG&amp;SD'!$C$3:$C$7</c:f>
              <c:numCache>
                <c:formatCode>General</c:formatCode>
                <c:ptCount val="5"/>
                <c:pt idx="0">
                  <c:v>30.2</c:v>
                </c:pt>
                <c:pt idx="1">
                  <c:v>26.324999999999999</c:v>
                </c:pt>
                <c:pt idx="2">
                  <c:v>24.774999999999999</c:v>
                </c:pt>
                <c:pt idx="3">
                  <c:v>23.05</c:v>
                </c:pt>
                <c:pt idx="4">
                  <c:v>21.574999999999999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72-40EC-9BA2-51944698D57E}"/>
            </c:ext>
          </c:extLst>
        </c:ser>
        <c:ser>
          <c:idx val="14"/>
          <c:order val="14"/>
          <c:tx>
            <c:strRef>
              <c:f>'MLX_P_AVG&amp;SD'!$D$2</c:f>
              <c:strCache>
                <c:ptCount val="1"/>
                <c:pt idx="0">
                  <c:v>MLX-P at  20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'MLX_P_AVG&amp;SD'!$D$3:$D$7</c:f>
              <c:numCache>
                <c:formatCode>General</c:formatCode>
                <c:ptCount val="5"/>
                <c:pt idx="0">
                  <c:v>30.733333333333334</c:v>
                </c:pt>
                <c:pt idx="1">
                  <c:v>28.333333333333332</c:v>
                </c:pt>
                <c:pt idx="2">
                  <c:v>26.5</c:v>
                </c:pt>
                <c:pt idx="3">
                  <c:v>25.033333333333331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72-40EC-9BA2-51944698D57E}"/>
            </c:ext>
          </c:extLst>
        </c:ser>
        <c:ser>
          <c:idx val="15"/>
          <c:order val="15"/>
          <c:tx>
            <c:strRef>
              <c:f>'MLX_P_AVG&amp;SD'!$E$2</c:f>
              <c:strCache>
                <c:ptCount val="1"/>
                <c:pt idx="0">
                  <c:v>MLX-P at  22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'MLX_P_AVG&amp;SD'!$E$3:$E$7</c:f>
              <c:numCache>
                <c:formatCode>General</c:formatCode>
                <c:ptCount val="5"/>
                <c:pt idx="0">
                  <c:v>30.459999999999997</c:v>
                </c:pt>
                <c:pt idx="1">
                  <c:v>28.233333333333334</c:v>
                </c:pt>
                <c:pt idx="2">
                  <c:v>27.366666666666664</c:v>
                </c:pt>
                <c:pt idx="3">
                  <c:v>26.3</c:v>
                </c:pt>
                <c:pt idx="4">
                  <c:v>24.433333333333337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72-40EC-9BA2-51944698D57E}"/>
            </c:ext>
          </c:extLst>
        </c:ser>
        <c:ser>
          <c:idx val="16"/>
          <c:order val="16"/>
          <c:tx>
            <c:strRef>
              <c:f>'MLX_P_AVG&amp;SD'!$F$2</c:f>
              <c:strCache>
                <c:ptCount val="1"/>
                <c:pt idx="0">
                  <c:v>MLX-P at  24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'MLX_P_AVG&amp;SD'!$F$3:$F$7</c:f>
              <c:numCache>
                <c:formatCode>General</c:formatCode>
                <c:ptCount val="5"/>
                <c:pt idx="0">
                  <c:v>32.1</c:v>
                </c:pt>
                <c:pt idx="1">
                  <c:v>30.82</c:v>
                </c:pt>
                <c:pt idx="2">
                  <c:v>28.96</c:v>
                </c:pt>
                <c:pt idx="3">
                  <c:v>27.639999999999997</c:v>
                </c:pt>
                <c:pt idx="4">
                  <c:v>26.659999999999997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72-40EC-9BA2-51944698D57E}"/>
            </c:ext>
          </c:extLst>
        </c:ser>
        <c:ser>
          <c:idx val="17"/>
          <c:order val="17"/>
          <c:tx>
            <c:strRef>
              <c:f>'MLX_P_AVG&amp;SD'!$G$2</c:f>
              <c:strCache>
                <c:ptCount val="1"/>
                <c:pt idx="0">
                  <c:v>MLX-P at  25 degrees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'MLX_P_AVG&amp;SD'!$G$3:$G$7</c:f>
              <c:numCache>
                <c:formatCode>General</c:formatCode>
                <c:ptCount val="5"/>
                <c:pt idx="0">
                  <c:v>31.775000000000002</c:v>
                </c:pt>
                <c:pt idx="1">
                  <c:v>29.9</c:v>
                </c:pt>
                <c:pt idx="2">
                  <c:v>29.099999999999998</c:v>
                </c:pt>
                <c:pt idx="3">
                  <c:v>28.324999999999999</c:v>
                </c:pt>
                <c:pt idx="4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72-40EC-9BA2-51944698D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232056"/>
        <c:axId val="915231696"/>
      </c:lineChart>
      <c:catAx>
        <c:axId val="915232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in Metre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31696"/>
        <c:crosses val="autoZero"/>
        <c:auto val="1"/>
        <c:lblAlgn val="ctr"/>
        <c:lblOffset val="100"/>
        <c:noMultiLvlLbl val="0"/>
      </c:catAx>
      <c:valAx>
        <c:axId val="91523169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32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MLX-P WITH OR WITHOUT EYE-GLASS</a:t>
            </a:r>
            <a:endParaRPr lang="en-US"/>
          </a:p>
        </c:rich>
      </c:tx>
      <c:layout>
        <c:manualLayout>
          <c:xMode val="edge"/>
          <c:yMode val="edge"/>
          <c:x val="0.26372818155765904"/>
          <c:y val="4.5679383423978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915238719815"/>
          <c:y val="0.18316042260700977"/>
          <c:w val="0.87489253436048753"/>
          <c:h val="0.51462524948955013"/>
        </c:manualLayout>
      </c:layout>
      <c:lineChart>
        <c:grouping val="standard"/>
        <c:varyColors val="0"/>
        <c:ser>
          <c:idx val="0"/>
          <c:order val="0"/>
          <c:tx>
            <c:strRef>
              <c:f>'MLX-P_WorWT_EYEglasses'!$L$33</c:f>
              <c:strCache>
                <c:ptCount val="1"/>
                <c:pt idx="0">
                  <c:v>MLX-Pwith eye-glasses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'MLX-P_WorWT_EYEglasses'!$L$34:$L$38</c:f>
              <c:numCache>
                <c:formatCode>General</c:formatCode>
                <c:ptCount val="5"/>
                <c:pt idx="0">
                  <c:v>30.87</c:v>
                </c:pt>
                <c:pt idx="1">
                  <c:v>28.389583333333338</c:v>
                </c:pt>
                <c:pt idx="2">
                  <c:v>26.816666666666666</c:v>
                </c:pt>
                <c:pt idx="3">
                  <c:v>25.549999999999997</c:v>
                </c:pt>
                <c:pt idx="4">
                  <c:v>24.195833333333336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3-4D38-9188-F200BA6F39FD}"/>
            </c:ext>
          </c:extLst>
        </c:ser>
        <c:ser>
          <c:idx val="1"/>
          <c:order val="1"/>
          <c:tx>
            <c:strRef>
              <c:f>'MLX-P_WorWT_EYEglasses'!$M$33</c:f>
              <c:strCache>
                <c:ptCount val="1"/>
                <c:pt idx="0">
                  <c:v>MLX-Pwithout eye-glasses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'MLX-P_WorWT_EYEglasses'!$M$34:$M$38</c:f>
              <c:numCache>
                <c:formatCode>General</c:formatCode>
                <c:ptCount val="5"/>
                <c:pt idx="0">
                  <c:v>31.402045454545451</c:v>
                </c:pt>
                <c:pt idx="1">
                  <c:v>28.698181818181819</c:v>
                </c:pt>
                <c:pt idx="2">
                  <c:v>27.01136363636363</c:v>
                </c:pt>
                <c:pt idx="3">
                  <c:v>25.830909090909088</c:v>
                </c:pt>
                <c:pt idx="4">
                  <c:v>24.534090909090914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3-4D38-9188-F200BA6F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465224"/>
        <c:axId val="543464864"/>
      </c:lineChart>
      <c:catAx>
        <c:axId val="54346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64864"/>
        <c:crosses val="autoZero"/>
        <c:auto val="1"/>
        <c:lblAlgn val="ctr"/>
        <c:lblOffset val="100"/>
        <c:noMultiLvlLbl val="0"/>
      </c:catAx>
      <c:valAx>
        <c:axId val="54346486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6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MLX-R Average reading with or without Eye-Glasses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'MLX-R_WorWT_EYEglasses'!$K$31</c:f>
              <c:strCache>
                <c:ptCount val="1"/>
                <c:pt idx="0">
                  <c:v>MLX-Rwith eye-glasses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'MLX-R_WorWT_EYEglasses'!$K$32:$K$36</c:f>
              <c:numCache>
                <c:formatCode>General</c:formatCode>
                <c:ptCount val="5"/>
                <c:pt idx="0">
                  <c:v>31.366666666666671</c:v>
                </c:pt>
                <c:pt idx="1">
                  <c:v>28.837500000000002</c:v>
                </c:pt>
                <c:pt idx="2">
                  <c:v>27.216666666666665</c:v>
                </c:pt>
                <c:pt idx="3">
                  <c:v>25.937499999999996</c:v>
                </c:pt>
                <c:pt idx="4">
                  <c:v>24.425000000000001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5-48B0-A0DF-6C40CEDF6ACC}"/>
            </c:ext>
          </c:extLst>
        </c:ser>
        <c:ser>
          <c:idx val="1"/>
          <c:order val="1"/>
          <c:tx>
            <c:strRef>
              <c:f>'MLX-R_WorWT_EYEglasses'!$L$31</c:f>
              <c:strCache>
                <c:ptCount val="1"/>
                <c:pt idx="0">
                  <c:v>MLX-Rwithout eye-glasses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'MLX-R_WorWT_EYEglasses'!$L$32:$L$36</c:f>
              <c:numCache>
                <c:formatCode>General</c:formatCode>
                <c:ptCount val="5"/>
                <c:pt idx="0">
                  <c:v>31.849999999999998</c:v>
                </c:pt>
                <c:pt idx="1">
                  <c:v>29.176818181818177</c:v>
                </c:pt>
                <c:pt idx="2">
                  <c:v>27.513636363636351</c:v>
                </c:pt>
                <c:pt idx="3">
                  <c:v>26.245454545454546</c:v>
                </c:pt>
                <c:pt idx="4">
                  <c:v>24.849999999999998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5-48B0-A0DF-6C40CEDF6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420248"/>
        <c:axId val="348419528"/>
      </c:lineChart>
      <c:catAx>
        <c:axId val="348420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19528"/>
        <c:crosses val="autoZero"/>
        <c:auto val="1"/>
        <c:lblAlgn val="ctr"/>
        <c:lblOffset val="100"/>
        <c:noMultiLvlLbl val="0"/>
      </c:catAx>
      <c:valAx>
        <c:axId val="34841952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CELSISUS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2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RS-T10 Average reading with or without Eye-Glasses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'RS-T10_WorWT_EYEglasses'!$I$32</c:f>
              <c:strCache>
                <c:ptCount val="1"/>
                <c:pt idx="0">
                  <c:v>RS-T10with eye-glasses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'RS-T10_WorWT_EYEglasses'!$I$33:$I$37</c:f>
              <c:numCache>
                <c:formatCode>General</c:formatCode>
                <c:ptCount val="5"/>
                <c:pt idx="0">
                  <c:v>30.262500000000003</c:v>
                </c:pt>
                <c:pt idx="1">
                  <c:v>28.654166666666669</c:v>
                </c:pt>
                <c:pt idx="2">
                  <c:v>26.933333333333337</c:v>
                </c:pt>
                <c:pt idx="3">
                  <c:v>25.283333333333335</c:v>
                </c:pt>
                <c:pt idx="4">
                  <c:v>23.729166666666661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A-497C-A971-EC907F4B238B}"/>
            </c:ext>
          </c:extLst>
        </c:ser>
        <c:ser>
          <c:idx val="1"/>
          <c:order val="1"/>
          <c:tx>
            <c:strRef>
              <c:f>'RS-T10_WorWT_EYEglasses'!$J$32</c:f>
              <c:strCache>
                <c:ptCount val="1"/>
                <c:pt idx="0">
                  <c:v>RS-T10without eye-glasses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'RS-T10_WorWT_EYEglasses'!$J$33:$J$37</c:f>
              <c:numCache>
                <c:formatCode>General</c:formatCode>
                <c:ptCount val="5"/>
                <c:pt idx="0">
                  <c:v>30.502272727272736</c:v>
                </c:pt>
                <c:pt idx="1">
                  <c:v>28.9</c:v>
                </c:pt>
                <c:pt idx="2">
                  <c:v>27.38181818181819</c:v>
                </c:pt>
                <c:pt idx="3">
                  <c:v>25.772727272727273</c:v>
                </c:pt>
                <c:pt idx="4">
                  <c:v>24.338636363636365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A-497C-A971-EC907F4B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132776"/>
        <c:axId val="833642112"/>
      </c:lineChart>
      <c:catAx>
        <c:axId val="586132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2112"/>
        <c:crosses val="autoZero"/>
        <c:auto val="1"/>
        <c:lblAlgn val="ctr"/>
        <c:lblOffset val="100"/>
        <c:noMultiLvlLbl val="0"/>
      </c:catAx>
      <c:valAx>
        <c:axId val="83364211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3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595800524934381E-2"/>
          <c:y val="7.9563691068152156E-2"/>
          <c:w val="0.7599389184807781"/>
          <c:h val="0.83234311533582572"/>
        </c:manualLayout>
      </c:layout>
      <c:lineChart>
        <c:grouping val="standard"/>
        <c:varyColors val="0"/>
        <c:ser>
          <c:idx val="0"/>
          <c:order val="0"/>
          <c:tx>
            <c:strRef>
              <c:f>'MLX-P_WorWT_EYEglasses'!$L$33</c:f>
              <c:strCache>
                <c:ptCount val="1"/>
                <c:pt idx="0">
                  <c:v>MLX-Pwith eye-glasses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'MLX-P_WorWT_EYEglasses'!$L$34:$L$38</c:f>
              <c:numCache>
                <c:formatCode>General</c:formatCode>
                <c:ptCount val="5"/>
                <c:pt idx="0">
                  <c:v>30.87</c:v>
                </c:pt>
                <c:pt idx="1">
                  <c:v>28.389583333333338</c:v>
                </c:pt>
                <c:pt idx="2">
                  <c:v>26.816666666666666</c:v>
                </c:pt>
                <c:pt idx="3">
                  <c:v>25.549999999999997</c:v>
                </c:pt>
                <c:pt idx="4">
                  <c:v>24.195833333333336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0-4FAD-99D2-57D4192659FB}"/>
            </c:ext>
          </c:extLst>
        </c:ser>
        <c:ser>
          <c:idx val="1"/>
          <c:order val="1"/>
          <c:tx>
            <c:strRef>
              <c:f>'MLX-P_WorWT_EYEglasses'!$M$33</c:f>
              <c:strCache>
                <c:ptCount val="1"/>
                <c:pt idx="0">
                  <c:v>MLX-Pwithout eye-glasses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'MLX-P_WorWT_EYEglasses'!$M$34:$M$38</c:f>
              <c:numCache>
                <c:formatCode>General</c:formatCode>
                <c:ptCount val="5"/>
                <c:pt idx="0">
                  <c:v>31.402045454545451</c:v>
                </c:pt>
                <c:pt idx="1">
                  <c:v>28.698181818181819</c:v>
                </c:pt>
                <c:pt idx="2">
                  <c:v>27.01136363636363</c:v>
                </c:pt>
                <c:pt idx="3">
                  <c:v>25.830909090909088</c:v>
                </c:pt>
                <c:pt idx="4">
                  <c:v>24.534090909090914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0-4FAD-99D2-57D4192659FB}"/>
            </c:ext>
          </c:extLst>
        </c:ser>
        <c:ser>
          <c:idx val="2"/>
          <c:order val="2"/>
          <c:tx>
            <c:strRef>
              <c:f>'MLX-R_WorWT_EYEglasses'!$K$31</c:f>
              <c:strCache>
                <c:ptCount val="1"/>
                <c:pt idx="0">
                  <c:v>MLX-Rwith eye-glasses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'MLX-R_WorWT_EYEglasses'!$K$32:$K$36</c:f>
              <c:numCache>
                <c:formatCode>General</c:formatCode>
                <c:ptCount val="5"/>
                <c:pt idx="0">
                  <c:v>31.366666666666671</c:v>
                </c:pt>
                <c:pt idx="1">
                  <c:v>28.837500000000002</c:v>
                </c:pt>
                <c:pt idx="2">
                  <c:v>27.216666666666665</c:v>
                </c:pt>
                <c:pt idx="3">
                  <c:v>25.937499999999996</c:v>
                </c:pt>
                <c:pt idx="4">
                  <c:v>24.425000000000001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70-4FAD-99D2-57D4192659FB}"/>
            </c:ext>
          </c:extLst>
        </c:ser>
        <c:ser>
          <c:idx val="3"/>
          <c:order val="3"/>
          <c:tx>
            <c:strRef>
              <c:f>'MLX-R_WorWT_EYEglasses'!$L$31</c:f>
              <c:strCache>
                <c:ptCount val="1"/>
                <c:pt idx="0">
                  <c:v>MLX-Rwithout eye-glasses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'MLX-R_WorWT_EYEglasses'!$L$32:$L$36</c:f>
              <c:numCache>
                <c:formatCode>General</c:formatCode>
                <c:ptCount val="5"/>
                <c:pt idx="0">
                  <c:v>31.849999999999998</c:v>
                </c:pt>
                <c:pt idx="1">
                  <c:v>29.176818181818177</c:v>
                </c:pt>
                <c:pt idx="2">
                  <c:v>27.513636363636351</c:v>
                </c:pt>
                <c:pt idx="3">
                  <c:v>26.245454545454546</c:v>
                </c:pt>
                <c:pt idx="4">
                  <c:v>24.849999999999998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70-4FAD-99D2-57D4192659FB}"/>
            </c:ext>
          </c:extLst>
        </c:ser>
        <c:ser>
          <c:idx val="4"/>
          <c:order val="4"/>
          <c:tx>
            <c:strRef>
              <c:f>'RS-T10_WorWT_EYEglasses'!$I$32</c:f>
              <c:strCache>
                <c:ptCount val="1"/>
                <c:pt idx="0">
                  <c:v>RS-T10with eye-glasses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'RS-T10_WorWT_EYEglasses'!$I$33:$I$37</c:f>
              <c:numCache>
                <c:formatCode>General</c:formatCode>
                <c:ptCount val="5"/>
                <c:pt idx="0">
                  <c:v>30.262500000000003</c:v>
                </c:pt>
                <c:pt idx="1">
                  <c:v>28.654166666666669</c:v>
                </c:pt>
                <c:pt idx="2">
                  <c:v>26.933333333333337</c:v>
                </c:pt>
                <c:pt idx="3">
                  <c:v>25.283333333333335</c:v>
                </c:pt>
                <c:pt idx="4">
                  <c:v>23.729166666666661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70-4FAD-99D2-57D4192659FB}"/>
            </c:ext>
          </c:extLst>
        </c:ser>
        <c:ser>
          <c:idx val="5"/>
          <c:order val="5"/>
          <c:tx>
            <c:strRef>
              <c:f>'RS-T10_WorWT_EYEglasses'!$J$32</c:f>
              <c:strCache>
                <c:ptCount val="1"/>
                <c:pt idx="0">
                  <c:v>RS-T10without eye-glasses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'RS-T10_WorWT_EYEglasses'!$J$33:$J$37</c:f>
              <c:numCache>
                <c:formatCode>General</c:formatCode>
                <c:ptCount val="5"/>
                <c:pt idx="0">
                  <c:v>30.502272727272736</c:v>
                </c:pt>
                <c:pt idx="1">
                  <c:v>28.9</c:v>
                </c:pt>
                <c:pt idx="2">
                  <c:v>27.38181818181819</c:v>
                </c:pt>
                <c:pt idx="3">
                  <c:v>25.772727272727273</c:v>
                </c:pt>
                <c:pt idx="4">
                  <c:v>24.338636363636365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70-4FAD-99D2-57D419265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438968"/>
        <c:axId val="348437888"/>
      </c:lineChart>
      <c:catAx>
        <c:axId val="348438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37888"/>
        <c:crosses val="autoZero"/>
        <c:auto val="1"/>
        <c:lblAlgn val="ctr"/>
        <c:lblOffset val="100"/>
        <c:noMultiLvlLbl val="0"/>
      </c:catAx>
      <c:valAx>
        <c:axId val="3484378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DREGREE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3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20</xdr:row>
      <xdr:rowOff>4762</xdr:rowOff>
    </xdr:from>
    <xdr:to>
      <xdr:col>11</xdr:col>
      <xdr:colOff>1052512</xdr:colOff>
      <xdr:row>41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EB284F-730E-7F58-6F62-06751948F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147639</xdr:colOff>
      <xdr:row>43</xdr:row>
      <xdr:rowOff>61912</xdr:rowOff>
    </xdr:from>
    <xdr:to>
      <xdr:col>11</xdr:col>
      <xdr:colOff>771525</xdr:colOff>
      <xdr:row>67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D54CE-07E1-C27F-C567-AFF6C497F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421480</xdr:colOff>
      <xdr:row>20</xdr:row>
      <xdr:rowOff>133348</xdr:rowOff>
    </xdr:from>
    <xdr:to>
      <xdr:col>9</xdr:col>
      <xdr:colOff>1028700</xdr:colOff>
      <xdr:row>48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FBE706-3748-2CF6-4665-E19175801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49</xdr:row>
      <xdr:rowOff>47623</xdr:rowOff>
    </xdr:from>
    <xdr:to>
      <xdr:col>9</xdr:col>
      <xdr:colOff>942975</xdr:colOff>
      <xdr:row>76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C2F65-2039-19E3-BBBE-F0D06D4DD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226217</xdr:colOff>
      <xdr:row>20</xdr:row>
      <xdr:rowOff>61912</xdr:rowOff>
    </xdr:from>
    <xdr:to>
      <xdr:col>10</xdr:col>
      <xdr:colOff>85724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FC13D-CC36-8B4F-2401-38F13241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271463</xdr:colOff>
      <xdr:row>48</xdr:row>
      <xdr:rowOff>104774</xdr:rowOff>
    </xdr:from>
    <xdr:to>
      <xdr:col>10</xdr:col>
      <xdr:colOff>9525</xdr:colOff>
      <xdr:row>74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824CE6-E8F1-2E42-F647-907FD9741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3</xdr:row>
      <xdr:rowOff>142873</xdr:rowOff>
    </xdr:from>
    <xdr:to>
      <xdr:col>18</xdr:col>
      <xdr:colOff>628650</xdr:colOff>
      <xdr:row>64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B7BEA-BF26-B850-50FC-31A75EE96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8</xdr:row>
      <xdr:rowOff>33336</xdr:rowOff>
    </xdr:from>
    <xdr:to>
      <xdr:col>19</xdr:col>
      <xdr:colOff>100013</xdr:colOff>
      <xdr:row>58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DE688-4140-0866-D45D-F22AE6DBE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4</xdr:row>
      <xdr:rowOff>128588</xdr:rowOff>
    </xdr:from>
    <xdr:to>
      <xdr:col>18</xdr:col>
      <xdr:colOff>576263</xdr:colOff>
      <xdr:row>44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0A9A8-9A2F-0369-4C58-AB38C3006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304801</xdr:colOff>
      <xdr:row>1</xdr:row>
      <xdr:rowOff>138111</xdr:rowOff>
    </xdr:from>
    <xdr:to>
      <xdr:col>17</xdr:col>
      <xdr:colOff>628651</xdr:colOff>
      <xdr:row>44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37593-5370-1AF0-7F6D-5DC60498E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623888</xdr:colOff>
      <xdr:row>2</xdr:row>
      <xdr:rowOff>4762</xdr:rowOff>
    </xdr:from>
    <xdr:to>
      <xdr:col>18</xdr:col>
      <xdr:colOff>109538</xdr:colOff>
      <xdr:row>29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266D2-0489-B02E-8603-2F36C40D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604838</xdr:colOff>
      <xdr:row>32</xdr:row>
      <xdr:rowOff>152400</xdr:rowOff>
    </xdr:from>
    <xdr:to>
      <xdr:col>18</xdr:col>
      <xdr:colOff>14287</xdr:colOff>
      <xdr:row>60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13ED45-E176-3718-776E-D0C43DEE0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590550</xdr:colOff>
      <xdr:row>63</xdr:row>
      <xdr:rowOff>38100</xdr:rowOff>
    </xdr:from>
    <xdr:to>
      <xdr:col>18</xdr:col>
      <xdr:colOff>71438</xdr:colOff>
      <xdr:row>92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64B65-966F-4507-AFC6-6EF563128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20</xdr:col>
      <xdr:colOff>304800</xdr:colOff>
      <xdr:row>42</xdr:row>
      <xdr:rowOff>85728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50E92B-CEFD-4604-B1E4-A113CBF38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0.22961</cdr:x>
      <cdr:y>0</cdr:y>
    </cdr:from>
    <cdr:to>
      <cdr:x>0.69273</cdr:x>
      <cdr:y>0.08122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A9399D7F-B8BF-0088-2DC9-FAC0391B9D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895600" y="0"/>
          <a:ext cx="5840474" cy="51210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14289</xdr:colOff>
      <xdr:row>38</xdr:row>
      <xdr:rowOff>90487</xdr:rowOff>
    </xdr:from>
    <xdr:to>
      <xdr:col>16</xdr:col>
      <xdr:colOff>600075</xdr:colOff>
      <xdr:row>54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948DA-03E9-488F-8E3B-D9C78A6ED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130967</xdr:colOff>
      <xdr:row>36</xdr:row>
      <xdr:rowOff>33337</xdr:rowOff>
    </xdr:from>
    <xdr:to>
      <xdr:col>16</xdr:col>
      <xdr:colOff>514349</xdr:colOff>
      <xdr:row>53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2EE90-EDE0-6634-0158-88F645D49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588167</xdr:colOff>
      <xdr:row>37</xdr:row>
      <xdr:rowOff>57150</xdr:rowOff>
    </xdr:from>
    <xdr:to>
      <xdr:col>15</xdr:col>
      <xdr:colOff>342900</xdr:colOff>
      <xdr:row>54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460F3-B9EB-B387-6030-C2BD296AF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471488</xdr:colOff>
      <xdr:row>4</xdr:row>
      <xdr:rowOff>104776</xdr:rowOff>
    </xdr:from>
    <xdr:to>
      <xdr:col>18</xdr:col>
      <xdr:colOff>309563</xdr:colOff>
      <xdr:row>43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8FBF4-85A5-5BCC-DB24-DE39809B5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0.19669</cdr:x>
      <cdr:y>0.02887</cdr:y>
    </cdr:from>
    <cdr:to>
      <cdr:x>0.72197</cdr:x>
      <cdr:y>0.08758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6854DDD-AB64-226A-B5D2-901842CAD993}"/>
            </a:ext>
          </a:extLst>
        </cdr:cNvPr>
        <cdr:cNvSpPr txBox="1"/>
      </cdr:nvSpPr>
      <cdr:spPr>
        <a:xfrm xmlns:a="http://schemas.openxmlformats.org/drawingml/2006/main">
          <a:off x="2038349" y="142874"/>
          <a:ext cx="5443537" cy="290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 baseline="0"/>
            <a:t>AVAERAGE READINGS OF </a:t>
          </a:r>
          <a:r>
            <a:rPr lang="en-US" sz="1100">
              <a:effectLst/>
              <a:latin typeface="+mn-lt"/>
              <a:ea typeface="+mn-ea"/>
              <a:cs typeface="+mn-cs"/>
            </a:rPr>
            <a:t>PHYSISCAL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COMPARISON </a:t>
          </a:r>
          <a:r>
            <a:rPr lang="en-US" sz="1100" kern="1200" baseline="0"/>
            <a:t> WITH OR WITHOUTH EYE-GLASSES</a:t>
          </a:r>
          <a:endParaRPr lang="en-US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32c7099617ee8b5/Desktop/MY%20THESIS%20BUILD%20UP/thermal%20camera%20experiment%202.xlsx" TargetMode="External"/><Relationship Id="rId1" Type="http://schemas.openxmlformats.org/officeDocument/2006/relationships/externalLinkPath" Target="thermal%20camera%20experimen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tutal_illumination_light skin"/>
      <sheetName val="Naural_Illumination_dark_skinwg"/>
      <sheetName val="Naural_Illumination_darkskinwtg"/>
      <sheetName val="Artificial_Illumination_Light_s"/>
      <sheetName val="artificial_illuminatn_dksknwG"/>
      <sheetName val="Artificial_illumination_Dark_sk"/>
      <sheetName val="Natutal_Illuminatn _ltsknwg"/>
      <sheetName val="Natutal_Illuminatn _ltsknwhgl"/>
      <sheetName val="artificial_illumintn_litsknwg"/>
      <sheetName val="artificial_illumintn_litsknwhgl"/>
      <sheetName val="readingdistancePimoroniMLX9064"/>
      <sheetName val="readingdistanceRSPROT-10"/>
      <sheetName val="readingdistnceRobotshopMLX90640"/>
      <sheetName val="Avarageateachdistance"/>
      <sheetName val="SDateachdiatnce"/>
      <sheetName val="Average_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Distance</v>
          </cell>
        </row>
      </sheetData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tabSelected="1" zoomScaleNormal="100" workbookViewId="0">
      <pane ySplit="2" topLeftCell="A40" activePane="bottomLeft" state="frozen"/>
      <selection pane="bottomLeft" activeCell="U12" sqref="U12"/>
    </sheetView>
  </sheetViews>
  <sheetFormatPr defaultColWidth="11.5546875" defaultRowHeight="13.2" x14ac:dyDescent="0.25"/>
  <cols>
    <col min="1" max="1" width="9.109375" customWidth="1"/>
    <col min="2" max="2" width="7.5546875" customWidth="1"/>
    <col min="3" max="3" width="10.109375" customWidth="1"/>
    <col min="4" max="4" width="12.5546875" customWidth="1"/>
    <col min="5" max="19" width="6.5546875" customWidth="1"/>
  </cols>
  <sheetData>
    <row r="1" spans="1:21" s="1" customFormat="1" x14ac:dyDescent="0.25">
      <c r="E1" s="5" t="s">
        <v>0</v>
      </c>
      <c r="F1" s="5"/>
      <c r="G1" s="5"/>
      <c r="H1" s="5"/>
      <c r="I1" s="5"/>
      <c r="J1" s="6" t="s">
        <v>1</v>
      </c>
      <c r="K1" s="6"/>
      <c r="L1" s="6"/>
      <c r="M1" s="6"/>
      <c r="N1" s="6"/>
      <c r="O1" s="6" t="s">
        <v>2</v>
      </c>
      <c r="P1" s="6"/>
      <c r="Q1" s="6"/>
      <c r="R1" s="6"/>
      <c r="S1" s="6"/>
    </row>
    <row r="2" spans="1:21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</row>
    <row r="3" spans="1:21" x14ac:dyDescent="0.25">
      <c r="A3">
        <v>1</v>
      </c>
      <c r="B3" t="s">
        <v>7</v>
      </c>
      <c r="C3">
        <v>36.799999999999997</v>
      </c>
      <c r="D3">
        <v>16</v>
      </c>
      <c r="E3">
        <v>30.3</v>
      </c>
      <c r="F3">
        <v>25.5</v>
      </c>
      <c r="G3">
        <v>23</v>
      </c>
      <c r="H3">
        <v>22.06</v>
      </c>
      <c r="I3">
        <v>21.5</v>
      </c>
      <c r="J3">
        <v>30.5</v>
      </c>
      <c r="K3">
        <v>26</v>
      </c>
      <c r="L3">
        <v>23.5</v>
      </c>
      <c r="M3">
        <v>22.5</v>
      </c>
      <c r="N3">
        <v>21</v>
      </c>
      <c r="O3">
        <v>29.5</v>
      </c>
      <c r="P3">
        <v>27</v>
      </c>
      <c r="Q3">
        <v>26</v>
      </c>
      <c r="R3">
        <v>23</v>
      </c>
      <c r="S3">
        <v>21.7</v>
      </c>
    </row>
    <row r="4" spans="1:21" x14ac:dyDescent="0.25">
      <c r="A4">
        <v>2</v>
      </c>
      <c r="B4" t="s">
        <v>8</v>
      </c>
      <c r="C4">
        <v>36.799999999999997</v>
      </c>
      <c r="D4">
        <v>16</v>
      </c>
      <c r="E4">
        <v>30</v>
      </c>
      <c r="F4">
        <v>29.5</v>
      </c>
      <c r="G4">
        <v>26</v>
      </c>
      <c r="H4">
        <v>24.5</v>
      </c>
      <c r="I4">
        <v>22.5</v>
      </c>
      <c r="J4">
        <v>30.5</v>
      </c>
      <c r="K4">
        <v>28.5</v>
      </c>
      <c r="L4">
        <v>25.5</v>
      </c>
      <c r="M4">
        <v>22.5</v>
      </c>
      <c r="N4">
        <v>23</v>
      </c>
      <c r="O4">
        <v>30</v>
      </c>
      <c r="P4">
        <v>28.7</v>
      </c>
      <c r="Q4">
        <v>25.7</v>
      </c>
      <c r="R4">
        <v>23.5</v>
      </c>
      <c r="S4">
        <v>22.5</v>
      </c>
    </row>
    <row r="5" spans="1:21" x14ac:dyDescent="0.25">
      <c r="A5">
        <v>3</v>
      </c>
      <c r="B5" t="s">
        <v>7</v>
      </c>
      <c r="C5">
        <v>36.799999999999997</v>
      </c>
      <c r="D5">
        <v>16</v>
      </c>
      <c r="E5">
        <v>30.3</v>
      </c>
      <c r="F5">
        <v>30</v>
      </c>
      <c r="G5">
        <v>25.5</v>
      </c>
      <c r="H5">
        <v>23.5</v>
      </c>
      <c r="I5">
        <v>22</v>
      </c>
      <c r="J5">
        <v>30.8</v>
      </c>
      <c r="K5">
        <v>29</v>
      </c>
      <c r="L5">
        <v>25.3</v>
      </c>
      <c r="M5">
        <v>23</v>
      </c>
      <c r="N5">
        <v>23</v>
      </c>
      <c r="O5">
        <v>30</v>
      </c>
      <c r="P5">
        <v>28.5</v>
      </c>
      <c r="Q5">
        <v>26.5</v>
      </c>
      <c r="R5">
        <v>24.5</v>
      </c>
      <c r="S5">
        <v>22.5</v>
      </c>
    </row>
    <row r="6" spans="1:21" x14ac:dyDescent="0.25">
      <c r="A6">
        <v>4</v>
      </c>
      <c r="B6" t="s">
        <v>8</v>
      </c>
      <c r="C6">
        <v>36.6</v>
      </c>
      <c r="D6">
        <v>16</v>
      </c>
      <c r="E6">
        <v>30.5</v>
      </c>
      <c r="F6">
        <v>27.9</v>
      </c>
      <c r="G6">
        <v>25.2</v>
      </c>
      <c r="H6">
        <v>23</v>
      </c>
      <c r="I6">
        <v>21.7</v>
      </c>
      <c r="J6">
        <v>31.2</v>
      </c>
      <c r="K6">
        <v>28.5</v>
      </c>
      <c r="L6">
        <v>25.4</v>
      </c>
      <c r="M6">
        <v>24</v>
      </c>
      <c r="N6">
        <v>22</v>
      </c>
      <c r="O6">
        <v>32</v>
      </c>
      <c r="P6">
        <v>30</v>
      </c>
      <c r="Q6">
        <v>26</v>
      </c>
      <c r="R6">
        <v>24</v>
      </c>
      <c r="S6">
        <v>22.5</v>
      </c>
    </row>
    <row r="7" spans="1:21" x14ac:dyDescent="0.25">
      <c r="A7">
        <v>5</v>
      </c>
      <c r="B7" t="s">
        <v>7</v>
      </c>
      <c r="C7">
        <v>36.6</v>
      </c>
      <c r="D7">
        <v>16</v>
      </c>
      <c r="E7">
        <v>31</v>
      </c>
      <c r="F7">
        <v>29.1</v>
      </c>
      <c r="G7">
        <v>25.5</v>
      </c>
      <c r="H7">
        <v>23.5</v>
      </c>
      <c r="I7">
        <v>22</v>
      </c>
      <c r="J7">
        <v>32</v>
      </c>
      <c r="K7">
        <v>29.7</v>
      </c>
      <c r="L7">
        <v>25.7</v>
      </c>
      <c r="M7">
        <v>24</v>
      </c>
      <c r="N7">
        <v>23</v>
      </c>
      <c r="O7">
        <v>31.5</v>
      </c>
      <c r="P7">
        <v>31</v>
      </c>
      <c r="Q7">
        <v>26.5</v>
      </c>
      <c r="R7">
        <v>24.5</v>
      </c>
      <c r="S7">
        <v>23</v>
      </c>
    </row>
    <row r="8" spans="1:21" x14ac:dyDescent="0.25">
      <c r="A8">
        <v>6</v>
      </c>
      <c r="B8" t="s">
        <v>8</v>
      </c>
      <c r="C8">
        <v>35.4</v>
      </c>
      <c r="D8">
        <v>16</v>
      </c>
      <c r="E8">
        <v>30</v>
      </c>
      <c r="F8">
        <v>25.5</v>
      </c>
      <c r="G8">
        <v>23</v>
      </c>
      <c r="H8">
        <v>22.5</v>
      </c>
      <c r="I8">
        <v>21.5</v>
      </c>
      <c r="J8">
        <v>30.1</v>
      </c>
      <c r="K8">
        <v>26</v>
      </c>
      <c r="L8">
        <v>24.1</v>
      </c>
      <c r="M8">
        <v>23</v>
      </c>
      <c r="N8">
        <v>22</v>
      </c>
      <c r="O8">
        <v>30</v>
      </c>
      <c r="P8">
        <v>27</v>
      </c>
      <c r="Q8">
        <v>25</v>
      </c>
      <c r="R8">
        <v>23</v>
      </c>
      <c r="S8">
        <v>22</v>
      </c>
    </row>
    <row r="9" spans="1:21" x14ac:dyDescent="0.25">
      <c r="A9">
        <v>7</v>
      </c>
      <c r="B9" t="s">
        <v>7</v>
      </c>
      <c r="C9">
        <v>35.4</v>
      </c>
      <c r="D9">
        <v>16</v>
      </c>
      <c r="E9">
        <v>30.5</v>
      </c>
      <c r="F9">
        <v>26</v>
      </c>
      <c r="G9">
        <v>23.5</v>
      </c>
      <c r="H9">
        <v>22.7</v>
      </c>
      <c r="I9">
        <v>21</v>
      </c>
      <c r="J9">
        <v>30</v>
      </c>
      <c r="K9">
        <v>27</v>
      </c>
      <c r="L9">
        <v>24.5</v>
      </c>
      <c r="M9">
        <v>23.7</v>
      </c>
      <c r="N9">
        <v>21</v>
      </c>
      <c r="O9">
        <v>30.5</v>
      </c>
      <c r="P9">
        <v>28</v>
      </c>
      <c r="Q9">
        <v>25.5</v>
      </c>
      <c r="R9">
        <v>23</v>
      </c>
      <c r="S9">
        <v>21.5</v>
      </c>
    </row>
    <row r="10" spans="1:21" x14ac:dyDescent="0.25">
      <c r="A10">
        <v>8</v>
      </c>
      <c r="B10" t="s">
        <v>7</v>
      </c>
      <c r="C10">
        <v>36.700000000000003</v>
      </c>
      <c r="D10">
        <v>16</v>
      </c>
      <c r="E10">
        <v>30</v>
      </c>
      <c r="F10">
        <v>26</v>
      </c>
      <c r="G10">
        <v>24.3</v>
      </c>
      <c r="H10">
        <v>22.9</v>
      </c>
      <c r="I10">
        <v>21.5</v>
      </c>
      <c r="J10">
        <v>30.2</v>
      </c>
      <c r="K10">
        <v>26.5</v>
      </c>
      <c r="L10">
        <v>24.7</v>
      </c>
      <c r="M10">
        <v>23.5</v>
      </c>
      <c r="N10">
        <v>22</v>
      </c>
      <c r="O10">
        <v>30</v>
      </c>
      <c r="P10">
        <v>26.7</v>
      </c>
      <c r="Q10">
        <v>25.8</v>
      </c>
      <c r="R10">
        <v>25</v>
      </c>
      <c r="S10">
        <v>23</v>
      </c>
    </row>
    <row r="11" spans="1:21" x14ac:dyDescent="0.25">
      <c r="A11">
        <v>9</v>
      </c>
      <c r="B11" t="s">
        <v>7</v>
      </c>
      <c r="C11">
        <v>36.1</v>
      </c>
      <c r="D11">
        <v>16</v>
      </c>
      <c r="E11">
        <v>30</v>
      </c>
      <c r="F11">
        <v>26.7</v>
      </c>
      <c r="G11">
        <v>24.5</v>
      </c>
      <c r="H11">
        <v>23.8</v>
      </c>
      <c r="I11">
        <v>22.1</v>
      </c>
      <c r="J11">
        <v>30.5</v>
      </c>
      <c r="K11">
        <v>27</v>
      </c>
      <c r="L11">
        <v>26</v>
      </c>
      <c r="M11">
        <v>24</v>
      </c>
      <c r="N11">
        <v>23</v>
      </c>
      <c r="O11">
        <v>30.1</v>
      </c>
      <c r="P11">
        <v>28</v>
      </c>
      <c r="Q11">
        <v>26</v>
      </c>
      <c r="R11">
        <v>24</v>
      </c>
      <c r="S11">
        <v>24</v>
      </c>
    </row>
    <row r="12" spans="1:21" x14ac:dyDescent="0.25">
      <c r="A12">
        <v>10</v>
      </c>
      <c r="B12" t="s">
        <v>8</v>
      </c>
      <c r="C12">
        <v>36.6</v>
      </c>
      <c r="D12">
        <v>16</v>
      </c>
      <c r="E12">
        <v>29.5</v>
      </c>
      <c r="F12">
        <v>26.05</v>
      </c>
      <c r="G12">
        <v>23.6</v>
      </c>
      <c r="H12">
        <v>22.5</v>
      </c>
      <c r="I12">
        <v>21.8</v>
      </c>
      <c r="J12">
        <v>30.2</v>
      </c>
      <c r="K12">
        <v>26.5</v>
      </c>
      <c r="L12">
        <v>24</v>
      </c>
      <c r="M12">
        <v>23</v>
      </c>
      <c r="N12">
        <v>22</v>
      </c>
      <c r="O12">
        <v>30.1</v>
      </c>
      <c r="P12">
        <v>27.5</v>
      </c>
      <c r="Q12">
        <v>25.8</v>
      </c>
      <c r="R12">
        <v>24.4</v>
      </c>
      <c r="S12">
        <v>23</v>
      </c>
      <c r="U12">
        <f>AVERAGEIF(B3:B15,"=Y",E3:E15)</f>
        <v>29.78</v>
      </c>
    </row>
    <row r="13" spans="1:21" x14ac:dyDescent="0.25">
      <c r="A13">
        <v>11</v>
      </c>
      <c r="B13" t="s">
        <v>7</v>
      </c>
      <c r="C13">
        <v>36.6</v>
      </c>
      <c r="D13">
        <v>16</v>
      </c>
      <c r="E13">
        <v>30</v>
      </c>
      <c r="F13">
        <v>26.32</v>
      </c>
      <c r="G13">
        <v>23.9</v>
      </c>
      <c r="H13">
        <v>22.7</v>
      </c>
      <c r="I13">
        <v>21.9</v>
      </c>
      <c r="J13">
        <v>30.5</v>
      </c>
      <c r="K13">
        <v>26.58</v>
      </c>
      <c r="L13">
        <v>24.5</v>
      </c>
      <c r="M13">
        <v>23.3</v>
      </c>
      <c r="N13">
        <v>23</v>
      </c>
      <c r="O13">
        <v>29.1</v>
      </c>
      <c r="P13">
        <v>28.2</v>
      </c>
      <c r="Q13">
        <v>25.6</v>
      </c>
      <c r="R13">
        <v>24.6</v>
      </c>
      <c r="S13">
        <v>23.5</v>
      </c>
      <c r="U13">
        <f>AVERAGEIF(B4:B16,"=N",E4:E16)</f>
        <v>30.185714285714287</v>
      </c>
    </row>
    <row r="14" spans="1:21" x14ac:dyDescent="0.25">
      <c r="A14">
        <v>12</v>
      </c>
      <c r="B14" t="s">
        <v>8</v>
      </c>
      <c r="C14">
        <v>36.4</v>
      </c>
      <c r="D14">
        <v>16</v>
      </c>
      <c r="E14">
        <v>28.9</v>
      </c>
      <c r="F14">
        <v>23.7</v>
      </c>
      <c r="G14">
        <v>23.9</v>
      </c>
      <c r="H14">
        <v>23</v>
      </c>
      <c r="I14">
        <v>22.2</v>
      </c>
      <c r="J14">
        <v>29</v>
      </c>
      <c r="K14">
        <v>26</v>
      </c>
      <c r="L14">
        <v>24</v>
      </c>
      <c r="M14">
        <v>23</v>
      </c>
      <c r="N14">
        <v>22.8</v>
      </c>
      <c r="O14">
        <v>29</v>
      </c>
      <c r="P14">
        <v>26</v>
      </c>
      <c r="Q14">
        <v>23.4</v>
      </c>
      <c r="R14">
        <v>21.9</v>
      </c>
      <c r="S14">
        <v>20.5</v>
      </c>
    </row>
    <row r="15" spans="1:21" x14ac:dyDescent="0.25">
      <c r="A15">
        <v>13</v>
      </c>
      <c r="B15" t="s">
        <v>7</v>
      </c>
      <c r="C15">
        <v>36.4</v>
      </c>
      <c r="D15">
        <v>16</v>
      </c>
      <c r="E15">
        <v>29.5</v>
      </c>
      <c r="F15">
        <v>24.5</v>
      </c>
      <c r="G15">
        <v>24.4</v>
      </c>
      <c r="H15">
        <v>23.5</v>
      </c>
      <c r="I15">
        <v>22.7</v>
      </c>
      <c r="J15">
        <v>30.5</v>
      </c>
      <c r="K15">
        <v>26.5</v>
      </c>
      <c r="L15">
        <v>25.4</v>
      </c>
      <c r="M15">
        <v>23.7</v>
      </c>
      <c r="N15">
        <v>23</v>
      </c>
      <c r="O15">
        <v>29.5</v>
      </c>
      <c r="P15">
        <v>26.5</v>
      </c>
      <c r="Q15">
        <v>25.5</v>
      </c>
      <c r="R15">
        <v>23.2</v>
      </c>
      <c r="S15">
        <v>20.5</v>
      </c>
    </row>
    <row r="16" spans="1:21" x14ac:dyDescent="0.25">
      <c r="A16">
        <v>14</v>
      </c>
      <c r="B16" t="s">
        <v>8</v>
      </c>
      <c r="C16">
        <v>36.700000000000003</v>
      </c>
      <c r="D16">
        <v>18</v>
      </c>
      <c r="E16">
        <v>29.3</v>
      </c>
      <c r="F16">
        <v>25.8</v>
      </c>
      <c r="G16">
        <v>24.5</v>
      </c>
      <c r="H16">
        <v>23.4</v>
      </c>
      <c r="I16">
        <v>22.2</v>
      </c>
      <c r="J16">
        <v>30.5</v>
      </c>
      <c r="K16">
        <v>26</v>
      </c>
      <c r="L16">
        <v>25</v>
      </c>
      <c r="M16">
        <v>24</v>
      </c>
      <c r="N16">
        <v>22.6</v>
      </c>
      <c r="O16">
        <v>29.1</v>
      </c>
      <c r="P16">
        <v>27.5</v>
      </c>
      <c r="Q16">
        <v>25.8</v>
      </c>
      <c r="R16">
        <v>24</v>
      </c>
      <c r="S16">
        <v>22.2</v>
      </c>
    </row>
    <row r="17" spans="1:19" x14ac:dyDescent="0.25">
      <c r="A17">
        <v>15</v>
      </c>
      <c r="B17" t="s">
        <v>7</v>
      </c>
      <c r="C17">
        <v>36.700000000000003</v>
      </c>
      <c r="D17">
        <v>18</v>
      </c>
      <c r="E17">
        <v>30.2</v>
      </c>
      <c r="F17">
        <v>26.5</v>
      </c>
      <c r="G17">
        <v>24.8</v>
      </c>
      <c r="H17">
        <v>23.6</v>
      </c>
      <c r="I17">
        <v>22.8</v>
      </c>
      <c r="J17">
        <v>30.8</v>
      </c>
      <c r="K17">
        <v>26.2</v>
      </c>
      <c r="L17">
        <v>25.5</v>
      </c>
      <c r="M17">
        <v>24.3</v>
      </c>
      <c r="N17">
        <v>23</v>
      </c>
      <c r="O17">
        <v>29.3</v>
      </c>
      <c r="P17">
        <v>28.1</v>
      </c>
      <c r="Q17">
        <v>26.5</v>
      </c>
      <c r="R17">
        <v>25.2</v>
      </c>
      <c r="S17">
        <v>23.7</v>
      </c>
    </row>
    <row r="18" spans="1:19" x14ac:dyDescent="0.25">
      <c r="A18">
        <v>16</v>
      </c>
      <c r="B18" t="s">
        <v>8</v>
      </c>
      <c r="C18">
        <v>35.200000000000003</v>
      </c>
      <c r="D18">
        <v>18</v>
      </c>
      <c r="E18">
        <v>31.2</v>
      </c>
      <c r="F18">
        <v>27.5</v>
      </c>
      <c r="G18">
        <v>26.2</v>
      </c>
      <c r="H18">
        <v>24</v>
      </c>
      <c r="I18">
        <v>20.6</v>
      </c>
      <c r="J18">
        <v>31</v>
      </c>
      <c r="K18">
        <v>28</v>
      </c>
      <c r="L18">
        <v>26.6</v>
      </c>
      <c r="M18">
        <v>24.2</v>
      </c>
      <c r="N18">
        <v>21</v>
      </c>
      <c r="O18">
        <v>30</v>
      </c>
      <c r="P18">
        <v>28.2</v>
      </c>
      <c r="Q18">
        <v>27</v>
      </c>
      <c r="R18">
        <v>24</v>
      </c>
      <c r="S18">
        <v>20.5</v>
      </c>
    </row>
    <row r="19" spans="1:19" x14ac:dyDescent="0.25">
      <c r="A19">
        <v>17</v>
      </c>
      <c r="B19" t="s">
        <v>7</v>
      </c>
      <c r="C19">
        <v>35.200000000000003</v>
      </c>
      <c r="D19">
        <v>18</v>
      </c>
      <c r="E19">
        <v>31.6</v>
      </c>
      <c r="F19">
        <v>28</v>
      </c>
      <c r="G19">
        <v>26.5</v>
      </c>
      <c r="H19">
        <v>24.5</v>
      </c>
      <c r="I19">
        <v>20.5</v>
      </c>
      <c r="J19">
        <v>31.2</v>
      </c>
      <c r="K19">
        <v>28.2</v>
      </c>
      <c r="L19">
        <v>26.8</v>
      </c>
      <c r="M19">
        <v>24.8</v>
      </c>
      <c r="N19">
        <v>21</v>
      </c>
      <c r="O19">
        <v>31.5</v>
      </c>
      <c r="P19">
        <v>28.5</v>
      </c>
      <c r="Q19">
        <v>28</v>
      </c>
      <c r="R19">
        <v>25</v>
      </c>
      <c r="S19">
        <v>20.8</v>
      </c>
    </row>
    <row r="20" spans="1:19" x14ac:dyDescent="0.25">
      <c r="A20">
        <v>18</v>
      </c>
      <c r="B20" t="s">
        <v>8</v>
      </c>
      <c r="C20">
        <v>36.799999999999997</v>
      </c>
      <c r="D20">
        <v>18</v>
      </c>
      <c r="E20">
        <v>30.5</v>
      </c>
      <c r="F20">
        <v>26.7</v>
      </c>
      <c r="G20">
        <v>24</v>
      </c>
      <c r="H20">
        <v>21</v>
      </c>
      <c r="I20">
        <v>20.5</v>
      </c>
      <c r="J20">
        <v>31.4</v>
      </c>
      <c r="K20">
        <v>27</v>
      </c>
      <c r="L20">
        <v>24.2</v>
      </c>
      <c r="M20">
        <v>21.5</v>
      </c>
      <c r="N20">
        <v>20</v>
      </c>
      <c r="O20">
        <v>30.5</v>
      </c>
      <c r="P20">
        <v>27.8</v>
      </c>
      <c r="Q20">
        <v>24</v>
      </c>
      <c r="R20">
        <v>22</v>
      </c>
      <c r="S20">
        <v>21</v>
      </c>
    </row>
    <row r="21" spans="1:19" x14ac:dyDescent="0.25">
      <c r="A21">
        <v>19</v>
      </c>
      <c r="B21" t="s">
        <v>7</v>
      </c>
      <c r="C21">
        <v>36.799999999999997</v>
      </c>
      <c r="D21">
        <v>18</v>
      </c>
      <c r="E21">
        <v>30.8</v>
      </c>
      <c r="F21">
        <v>27.3</v>
      </c>
      <c r="G21">
        <v>24.5</v>
      </c>
      <c r="H21">
        <v>21.2</v>
      </c>
      <c r="I21">
        <v>21</v>
      </c>
      <c r="J21">
        <v>31.8</v>
      </c>
      <c r="K21">
        <v>28.1</v>
      </c>
      <c r="L21">
        <v>24.8</v>
      </c>
      <c r="M21">
        <v>21.5</v>
      </c>
      <c r="N21">
        <v>21.3</v>
      </c>
      <c r="O21">
        <v>30.5</v>
      </c>
      <c r="P21">
        <v>28.5</v>
      </c>
      <c r="Q21">
        <v>24.5</v>
      </c>
      <c r="R21">
        <v>22.5</v>
      </c>
      <c r="S21">
        <v>22</v>
      </c>
    </row>
    <row r="22" spans="1:19" x14ac:dyDescent="0.25">
      <c r="A22">
        <v>20</v>
      </c>
      <c r="B22" t="s">
        <v>7</v>
      </c>
      <c r="C22">
        <v>36.200000000000003</v>
      </c>
      <c r="D22">
        <v>18</v>
      </c>
      <c r="E22">
        <v>31.1</v>
      </c>
      <c r="F22">
        <v>27.5</v>
      </c>
      <c r="G22">
        <v>25.1</v>
      </c>
      <c r="H22">
        <v>24.2</v>
      </c>
      <c r="I22">
        <v>23.6</v>
      </c>
      <c r="J22">
        <v>31.5</v>
      </c>
      <c r="K22">
        <v>28.5</v>
      </c>
      <c r="L22">
        <v>25.8</v>
      </c>
      <c r="M22">
        <v>24.5</v>
      </c>
      <c r="N22">
        <v>24</v>
      </c>
      <c r="O22">
        <v>30</v>
      </c>
      <c r="P22">
        <v>28.5</v>
      </c>
      <c r="Q22">
        <v>26</v>
      </c>
      <c r="R22">
        <v>24.7</v>
      </c>
      <c r="S22">
        <v>23</v>
      </c>
    </row>
    <row r="23" spans="1:19" x14ac:dyDescent="0.25">
      <c r="A23">
        <v>21</v>
      </c>
      <c r="B23" t="s">
        <v>7</v>
      </c>
      <c r="C23">
        <v>36.6</v>
      </c>
      <c r="D23">
        <v>18</v>
      </c>
      <c r="E23">
        <v>29.9</v>
      </c>
      <c r="F23">
        <v>26.5</v>
      </c>
      <c r="G23">
        <v>24.5</v>
      </c>
      <c r="H23">
        <v>23.5</v>
      </c>
      <c r="I23">
        <v>22.4</v>
      </c>
      <c r="J23">
        <v>30.2</v>
      </c>
      <c r="K23">
        <v>27</v>
      </c>
      <c r="L23">
        <v>24.8</v>
      </c>
      <c r="M23">
        <v>24</v>
      </c>
      <c r="N23">
        <v>22</v>
      </c>
      <c r="O23">
        <v>30</v>
      </c>
      <c r="P23">
        <v>27.4</v>
      </c>
      <c r="Q23">
        <v>25</v>
      </c>
      <c r="R23">
        <v>24.3</v>
      </c>
      <c r="S23">
        <v>22</v>
      </c>
    </row>
    <row r="24" spans="1:19" x14ac:dyDescent="0.25">
      <c r="A24">
        <v>22</v>
      </c>
      <c r="B24" t="s">
        <v>8</v>
      </c>
      <c r="C24">
        <v>36.799999999999997</v>
      </c>
      <c r="D24">
        <v>18</v>
      </c>
      <c r="E24">
        <v>29.8</v>
      </c>
      <c r="F24">
        <v>25.3</v>
      </c>
      <c r="G24">
        <v>24.4</v>
      </c>
      <c r="H24">
        <v>23.8</v>
      </c>
      <c r="I24">
        <v>23</v>
      </c>
      <c r="J24">
        <v>30.8</v>
      </c>
      <c r="K24">
        <v>26.3</v>
      </c>
      <c r="L24">
        <v>25.1</v>
      </c>
      <c r="M24">
        <v>24.5</v>
      </c>
      <c r="N24">
        <v>23.8</v>
      </c>
      <c r="O24">
        <v>29.2</v>
      </c>
      <c r="P24">
        <v>25.5</v>
      </c>
      <c r="Q24">
        <v>26.6</v>
      </c>
      <c r="R24">
        <v>23.3</v>
      </c>
      <c r="S24">
        <v>21.5</v>
      </c>
    </row>
    <row r="25" spans="1:19" x14ac:dyDescent="0.25">
      <c r="A25">
        <v>23</v>
      </c>
      <c r="B25" t="s">
        <v>7</v>
      </c>
      <c r="C25">
        <v>36.799999999999997</v>
      </c>
      <c r="D25">
        <v>18</v>
      </c>
      <c r="E25">
        <v>30.7</v>
      </c>
      <c r="F25">
        <v>25.4</v>
      </c>
      <c r="G25">
        <v>24.9</v>
      </c>
      <c r="H25">
        <v>23.8</v>
      </c>
      <c r="I25">
        <v>23.2</v>
      </c>
      <c r="J25">
        <v>31.7</v>
      </c>
      <c r="K25">
        <v>27</v>
      </c>
      <c r="L25">
        <v>25.9</v>
      </c>
      <c r="M25">
        <v>24.4</v>
      </c>
      <c r="N25">
        <v>24</v>
      </c>
      <c r="O25">
        <v>29.3</v>
      </c>
      <c r="P25">
        <v>25.5</v>
      </c>
      <c r="Q25">
        <v>26.5</v>
      </c>
      <c r="R25">
        <v>22</v>
      </c>
      <c r="S25">
        <v>23.3</v>
      </c>
    </row>
    <row r="26" spans="1:19" x14ac:dyDescent="0.25">
      <c r="A26">
        <v>24</v>
      </c>
      <c r="B26" t="s">
        <v>7</v>
      </c>
      <c r="C26">
        <v>36.799999999999997</v>
      </c>
      <c r="D26">
        <v>18</v>
      </c>
      <c r="E26">
        <v>29.9</v>
      </c>
      <c r="F26">
        <v>26.3</v>
      </c>
      <c r="G26">
        <v>24.2</v>
      </c>
      <c r="H26">
        <v>23.1</v>
      </c>
      <c r="I26">
        <v>22.4</v>
      </c>
      <c r="J26">
        <v>30.2</v>
      </c>
      <c r="K26">
        <v>27</v>
      </c>
      <c r="L26">
        <v>24.8</v>
      </c>
      <c r="M26">
        <v>24.2</v>
      </c>
      <c r="N26">
        <v>23</v>
      </c>
      <c r="O26">
        <v>30</v>
      </c>
      <c r="P26">
        <v>27.1</v>
      </c>
      <c r="Q26">
        <v>24.5</v>
      </c>
      <c r="R26">
        <v>23</v>
      </c>
      <c r="S26">
        <v>22.3</v>
      </c>
    </row>
    <row r="27" spans="1:19" x14ac:dyDescent="0.25">
      <c r="A27">
        <v>25</v>
      </c>
      <c r="B27" t="s">
        <v>7</v>
      </c>
      <c r="C27">
        <v>36.6</v>
      </c>
      <c r="D27">
        <v>20</v>
      </c>
      <c r="E27">
        <v>30.5</v>
      </c>
      <c r="F27">
        <v>27.6</v>
      </c>
      <c r="G27">
        <v>25.8</v>
      </c>
      <c r="H27">
        <v>24.5</v>
      </c>
      <c r="I27">
        <v>23.5</v>
      </c>
      <c r="J27">
        <v>31.3</v>
      </c>
      <c r="K27">
        <v>28</v>
      </c>
      <c r="L27">
        <v>26.5</v>
      </c>
      <c r="M27">
        <v>25</v>
      </c>
      <c r="N27">
        <v>24</v>
      </c>
      <c r="O27">
        <v>29.6</v>
      </c>
      <c r="P27">
        <v>27.7</v>
      </c>
      <c r="Q27">
        <v>26.9</v>
      </c>
      <c r="R27">
        <v>26.6</v>
      </c>
      <c r="S27">
        <v>23.7</v>
      </c>
    </row>
    <row r="28" spans="1:19" x14ac:dyDescent="0.25">
      <c r="A28">
        <v>26</v>
      </c>
      <c r="B28" t="s">
        <v>7</v>
      </c>
      <c r="C28">
        <v>36.4</v>
      </c>
      <c r="D28">
        <v>20</v>
      </c>
      <c r="E28">
        <v>30.6</v>
      </c>
      <c r="F28">
        <v>26.4</v>
      </c>
      <c r="G28">
        <v>25.5</v>
      </c>
      <c r="H28">
        <v>24.6</v>
      </c>
      <c r="I28">
        <v>23</v>
      </c>
      <c r="J28">
        <v>31</v>
      </c>
      <c r="K28">
        <v>27</v>
      </c>
      <c r="L28">
        <v>25.8</v>
      </c>
      <c r="M28">
        <v>24</v>
      </c>
      <c r="N28">
        <v>23.5</v>
      </c>
      <c r="O28">
        <v>28.6</v>
      </c>
      <c r="P28">
        <v>27</v>
      </c>
      <c r="Q28">
        <v>24.8</v>
      </c>
      <c r="R28">
        <v>23.8</v>
      </c>
      <c r="S28">
        <v>22.5</v>
      </c>
    </row>
    <row r="29" spans="1:19" x14ac:dyDescent="0.25">
      <c r="A29">
        <v>27</v>
      </c>
      <c r="B29" t="s">
        <v>8</v>
      </c>
      <c r="C29">
        <v>36.9</v>
      </c>
      <c r="D29">
        <v>20</v>
      </c>
      <c r="E29">
        <v>30.2</v>
      </c>
      <c r="F29">
        <v>28</v>
      </c>
      <c r="G29">
        <v>25.8</v>
      </c>
      <c r="H29">
        <v>24.5</v>
      </c>
      <c r="I29">
        <v>22.5</v>
      </c>
      <c r="J29">
        <v>31</v>
      </c>
      <c r="K29">
        <v>27.5</v>
      </c>
      <c r="L29">
        <v>26</v>
      </c>
      <c r="M29">
        <v>24.2</v>
      </c>
      <c r="N29">
        <v>22</v>
      </c>
      <c r="O29">
        <v>29</v>
      </c>
      <c r="P29">
        <v>27.9</v>
      </c>
      <c r="Q29">
        <v>26.2</v>
      </c>
      <c r="R29">
        <v>24.2</v>
      </c>
      <c r="S29">
        <v>22</v>
      </c>
    </row>
    <row r="30" spans="1:19" x14ac:dyDescent="0.25">
      <c r="A30">
        <v>28</v>
      </c>
      <c r="B30" t="s">
        <v>7</v>
      </c>
      <c r="C30">
        <v>36.9</v>
      </c>
      <c r="D30">
        <v>20</v>
      </c>
      <c r="E30">
        <v>30.8</v>
      </c>
      <c r="F30">
        <v>28.5</v>
      </c>
      <c r="G30">
        <v>26</v>
      </c>
      <c r="H30">
        <v>25</v>
      </c>
      <c r="I30">
        <v>22.8</v>
      </c>
      <c r="J30">
        <v>31.7</v>
      </c>
      <c r="K30">
        <v>28</v>
      </c>
      <c r="L30">
        <v>26.7</v>
      </c>
      <c r="M30">
        <v>25.2</v>
      </c>
      <c r="N30">
        <v>22.5</v>
      </c>
      <c r="O30">
        <v>29.5</v>
      </c>
      <c r="P30">
        <v>28.4</v>
      </c>
      <c r="Q30">
        <v>27.5</v>
      </c>
      <c r="R30">
        <v>25.7</v>
      </c>
      <c r="S30">
        <v>22.4</v>
      </c>
    </row>
    <row r="31" spans="1:19" x14ac:dyDescent="0.25">
      <c r="A31">
        <v>29</v>
      </c>
      <c r="B31" t="s">
        <v>8</v>
      </c>
      <c r="C31">
        <v>36.4</v>
      </c>
      <c r="D31">
        <v>20</v>
      </c>
      <c r="E31">
        <v>30.5</v>
      </c>
      <c r="F31">
        <v>28</v>
      </c>
      <c r="G31">
        <v>26.5</v>
      </c>
      <c r="H31">
        <v>24.8</v>
      </c>
      <c r="I31">
        <v>22</v>
      </c>
      <c r="J31">
        <v>31</v>
      </c>
      <c r="K31">
        <v>29.2</v>
      </c>
      <c r="L31">
        <v>27</v>
      </c>
      <c r="M31">
        <v>25.5</v>
      </c>
      <c r="N31">
        <v>22.8</v>
      </c>
      <c r="O31">
        <v>30</v>
      </c>
      <c r="P31">
        <v>28.5</v>
      </c>
      <c r="Q31">
        <v>26.8</v>
      </c>
      <c r="R31">
        <v>24.8</v>
      </c>
      <c r="S31">
        <v>22</v>
      </c>
    </row>
    <row r="32" spans="1:19" x14ac:dyDescent="0.25">
      <c r="A32">
        <v>30</v>
      </c>
      <c r="B32" t="s">
        <v>7</v>
      </c>
      <c r="C32">
        <v>36.4</v>
      </c>
      <c r="D32">
        <v>20</v>
      </c>
      <c r="E32">
        <v>31</v>
      </c>
      <c r="F32">
        <v>28.4</v>
      </c>
      <c r="G32">
        <v>26.8</v>
      </c>
      <c r="H32">
        <v>25</v>
      </c>
      <c r="I32">
        <v>22.5</v>
      </c>
      <c r="J32">
        <v>31.3</v>
      </c>
      <c r="K32">
        <v>29.5</v>
      </c>
      <c r="L32">
        <v>27.5</v>
      </c>
      <c r="M32">
        <v>25.8</v>
      </c>
      <c r="N32">
        <v>23</v>
      </c>
      <c r="O32">
        <v>30.5</v>
      </c>
      <c r="P32">
        <v>29</v>
      </c>
      <c r="Q32">
        <v>27</v>
      </c>
      <c r="R32">
        <v>25.2</v>
      </c>
      <c r="S32">
        <v>22.4</v>
      </c>
    </row>
    <row r="33" spans="1:19" x14ac:dyDescent="0.25">
      <c r="A33">
        <v>31</v>
      </c>
      <c r="B33" t="s">
        <v>8</v>
      </c>
      <c r="C33">
        <v>36.799999999999997</v>
      </c>
      <c r="D33">
        <v>20</v>
      </c>
      <c r="E33">
        <v>31.5</v>
      </c>
      <c r="F33">
        <v>29</v>
      </c>
      <c r="G33">
        <v>27.2</v>
      </c>
      <c r="H33">
        <v>25.8</v>
      </c>
      <c r="I33">
        <v>23</v>
      </c>
      <c r="J33">
        <v>31.2</v>
      </c>
      <c r="K33">
        <v>29.5</v>
      </c>
      <c r="L33">
        <v>27</v>
      </c>
      <c r="M33">
        <v>26.2</v>
      </c>
      <c r="N33">
        <v>23.3</v>
      </c>
      <c r="O33">
        <v>30.5</v>
      </c>
      <c r="P33">
        <v>28.5</v>
      </c>
      <c r="Q33">
        <v>26.5</v>
      </c>
      <c r="R33">
        <v>24</v>
      </c>
      <c r="S33">
        <v>22.2</v>
      </c>
    </row>
    <row r="34" spans="1:19" x14ac:dyDescent="0.25">
      <c r="A34">
        <v>32</v>
      </c>
      <c r="B34" t="s">
        <v>7</v>
      </c>
      <c r="C34">
        <v>36.799999999999997</v>
      </c>
      <c r="D34">
        <v>20</v>
      </c>
      <c r="E34">
        <v>31.7</v>
      </c>
      <c r="F34">
        <v>29.2</v>
      </c>
      <c r="G34">
        <v>27.5</v>
      </c>
      <c r="H34">
        <v>26</v>
      </c>
      <c r="I34">
        <v>23.3</v>
      </c>
      <c r="J34">
        <v>31.5</v>
      </c>
      <c r="K34">
        <v>29.8</v>
      </c>
      <c r="L34">
        <v>27.4</v>
      </c>
      <c r="M34">
        <v>26.5</v>
      </c>
      <c r="N34">
        <v>23</v>
      </c>
      <c r="O34">
        <v>30.8</v>
      </c>
      <c r="P34">
        <v>28.8</v>
      </c>
      <c r="Q34">
        <v>26.8</v>
      </c>
      <c r="R34">
        <v>24.2</v>
      </c>
      <c r="S34">
        <v>22.5</v>
      </c>
    </row>
    <row r="35" spans="1:19" x14ac:dyDescent="0.25">
      <c r="A35">
        <v>33</v>
      </c>
      <c r="B35" t="s">
        <v>8</v>
      </c>
      <c r="C35">
        <v>36.700000000000003</v>
      </c>
      <c r="D35">
        <v>22</v>
      </c>
      <c r="E35">
        <v>30.1</v>
      </c>
      <c r="F35">
        <v>27</v>
      </c>
      <c r="G35">
        <v>26.4</v>
      </c>
      <c r="H35">
        <v>25.1</v>
      </c>
      <c r="I35">
        <v>23.5</v>
      </c>
      <c r="J35">
        <v>31.2</v>
      </c>
      <c r="K35">
        <v>27.2</v>
      </c>
      <c r="L35">
        <v>26.8</v>
      </c>
      <c r="M35">
        <v>26</v>
      </c>
      <c r="N35">
        <v>24</v>
      </c>
      <c r="O35">
        <v>29.5</v>
      </c>
      <c r="P35">
        <v>28</v>
      </c>
      <c r="Q35">
        <v>26.5</v>
      </c>
      <c r="R35">
        <v>25</v>
      </c>
      <c r="S35">
        <v>24.2</v>
      </c>
    </row>
    <row r="36" spans="1:19" x14ac:dyDescent="0.25">
      <c r="A36">
        <v>34</v>
      </c>
      <c r="B36" t="s">
        <v>7</v>
      </c>
      <c r="C36">
        <v>36.700000000000003</v>
      </c>
      <c r="D36">
        <v>22</v>
      </c>
      <c r="E36">
        <v>30.9</v>
      </c>
      <c r="F36">
        <v>27.2</v>
      </c>
      <c r="G36">
        <v>26.8</v>
      </c>
      <c r="H36">
        <v>25.5</v>
      </c>
      <c r="I36">
        <v>24</v>
      </c>
      <c r="J36">
        <v>31.5</v>
      </c>
      <c r="K36">
        <v>27.8</v>
      </c>
      <c r="L36">
        <v>27</v>
      </c>
      <c r="M36">
        <v>26.2</v>
      </c>
      <c r="N36">
        <v>24.5</v>
      </c>
      <c r="O36">
        <v>29.8</v>
      </c>
      <c r="P36">
        <v>28.2</v>
      </c>
      <c r="Q36">
        <v>27.2</v>
      </c>
      <c r="R36">
        <v>26</v>
      </c>
      <c r="S36">
        <v>24.5</v>
      </c>
    </row>
    <row r="37" spans="1:19" x14ac:dyDescent="0.25">
      <c r="A37">
        <v>35</v>
      </c>
      <c r="B37" t="s">
        <v>7</v>
      </c>
      <c r="C37">
        <v>36.799999999999997</v>
      </c>
      <c r="D37">
        <v>22</v>
      </c>
      <c r="E37">
        <v>31.7</v>
      </c>
      <c r="F37">
        <v>28.7</v>
      </c>
      <c r="G37">
        <v>26.5</v>
      </c>
      <c r="H37">
        <v>25.6</v>
      </c>
      <c r="I37">
        <v>24</v>
      </c>
      <c r="J37">
        <v>32.700000000000003</v>
      </c>
      <c r="K37">
        <v>29.2</v>
      </c>
      <c r="L37">
        <v>27</v>
      </c>
      <c r="M37">
        <v>25.8</v>
      </c>
      <c r="N37">
        <v>24.3</v>
      </c>
      <c r="O37">
        <v>30.2</v>
      </c>
      <c r="P37">
        <v>28</v>
      </c>
      <c r="Q37">
        <v>27.2</v>
      </c>
      <c r="R37">
        <v>25.2</v>
      </c>
      <c r="S37">
        <v>24.1</v>
      </c>
    </row>
    <row r="38" spans="1:19" x14ac:dyDescent="0.25">
      <c r="A38">
        <v>36</v>
      </c>
      <c r="B38" t="s">
        <v>7</v>
      </c>
      <c r="C38">
        <v>36.6</v>
      </c>
      <c r="D38">
        <v>22</v>
      </c>
      <c r="E38">
        <v>30.5</v>
      </c>
      <c r="F38">
        <v>26.7</v>
      </c>
      <c r="G38">
        <v>26</v>
      </c>
      <c r="H38">
        <v>25.5</v>
      </c>
      <c r="I38">
        <v>24</v>
      </c>
      <c r="J38">
        <v>31.2</v>
      </c>
      <c r="K38">
        <v>27</v>
      </c>
      <c r="L38">
        <v>26.5</v>
      </c>
      <c r="M38">
        <v>26</v>
      </c>
      <c r="N38">
        <v>24.2</v>
      </c>
      <c r="O38">
        <v>29.7</v>
      </c>
      <c r="P38">
        <v>27.2</v>
      </c>
      <c r="Q38">
        <v>26.2</v>
      </c>
      <c r="R38">
        <v>24.7</v>
      </c>
      <c r="S38">
        <v>23</v>
      </c>
    </row>
    <row r="39" spans="1:19" x14ac:dyDescent="0.25">
      <c r="A39">
        <v>37</v>
      </c>
      <c r="B39" t="s">
        <v>7</v>
      </c>
      <c r="C39">
        <v>36.9</v>
      </c>
      <c r="D39">
        <v>22</v>
      </c>
      <c r="E39">
        <v>31.4</v>
      </c>
      <c r="F39">
        <v>28.2</v>
      </c>
      <c r="G39">
        <v>26.5</v>
      </c>
      <c r="H39">
        <v>26</v>
      </c>
      <c r="I39">
        <v>23.3</v>
      </c>
      <c r="J39">
        <v>32.4</v>
      </c>
      <c r="K39">
        <v>28.5</v>
      </c>
      <c r="L39">
        <v>26.8</v>
      </c>
      <c r="M39">
        <v>26.3</v>
      </c>
      <c r="N39">
        <v>23.5</v>
      </c>
      <c r="O39">
        <v>30.5</v>
      </c>
      <c r="P39">
        <v>29</v>
      </c>
      <c r="Q39">
        <v>27</v>
      </c>
      <c r="R39">
        <v>26.1</v>
      </c>
      <c r="S39">
        <v>24</v>
      </c>
    </row>
    <row r="40" spans="1:19" x14ac:dyDescent="0.25">
      <c r="A40">
        <v>38</v>
      </c>
      <c r="B40" t="s">
        <v>7</v>
      </c>
      <c r="C40">
        <v>36.700000000000003</v>
      </c>
      <c r="D40">
        <v>22</v>
      </c>
      <c r="E40">
        <v>30.7</v>
      </c>
      <c r="F40">
        <v>28.1</v>
      </c>
      <c r="G40">
        <v>27</v>
      </c>
      <c r="H40">
        <v>26.2</v>
      </c>
      <c r="I40">
        <v>24</v>
      </c>
      <c r="J40">
        <v>31.2</v>
      </c>
      <c r="K40">
        <v>28.6</v>
      </c>
      <c r="L40">
        <v>27.3</v>
      </c>
      <c r="M40">
        <v>27</v>
      </c>
      <c r="N40">
        <v>24.2</v>
      </c>
      <c r="O40">
        <v>30.5</v>
      </c>
      <c r="P40">
        <v>28.2</v>
      </c>
      <c r="Q40">
        <v>27.6</v>
      </c>
      <c r="R40">
        <v>26.6</v>
      </c>
      <c r="S40">
        <v>25</v>
      </c>
    </row>
    <row r="41" spans="1:19" x14ac:dyDescent="0.25">
      <c r="A41">
        <v>39</v>
      </c>
      <c r="B41" t="s">
        <v>8</v>
      </c>
      <c r="C41">
        <v>36.799999999999997</v>
      </c>
      <c r="D41">
        <v>22</v>
      </c>
      <c r="E41">
        <v>30.08</v>
      </c>
      <c r="F41">
        <v>28.5</v>
      </c>
      <c r="G41">
        <v>27.2</v>
      </c>
      <c r="H41">
        <v>26.6</v>
      </c>
      <c r="I41">
        <v>24.2</v>
      </c>
      <c r="J41">
        <v>31.3</v>
      </c>
      <c r="K41">
        <v>28.5</v>
      </c>
      <c r="L41">
        <v>27.5</v>
      </c>
      <c r="M41">
        <v>27</v>
      </c>
      <c r="N41">
        <v>24.5</v>
      </c>
      <c r="O41">
        <v>29.3</v>
      </c>
      <c r="P41">
        <v>28.6</v>
      </c>
      <c r="Q41">
        <v>27.3</v>
      </c>
      <c r="R41">
        <v>26.6</v>
      </c>
      <c r="S41">
        <v>24</v>
      </c>
    </row>
    <row r="42" spans="1:19" x14ac:dyDescent="0.25">
      <c r="A42">
        <v>40</v>
      </c>
      <c r="B42" t="s">
        <v>7</v>
      </c>
      <c r="C42">
        <v>36.799999999999997</v>
      </c>
      <c r="D42">
        <v>22</v>
      </c>
      <c r="E42">
        <v>30.99</v>
      </c>
      <c r="F42">
        <v>29</v>
      </c>
      <c r="G42">
        <v>27.4</v>
      </c>
      <c r="H42">
        <v>26.8</v>
      </c>
      <c r="I42">
        <v>24.6</v>
      </c>
      <c r="J42">
        <v>31.1</v>
      </c>
      <c r="K42">
        <v>28.8</v>
      </c>
      <c r="L42">
        <v>27.8</v>
      </c>
      <c r="M42">
        <v>27.2</v>
      </c>
      <c r="N42">
        <v>24.8</v>
      </c>
      <c r="O42">
        <v>29.8</v>
      </c>
      <c r="P42">
        <v>29</v>
      </c>
      <c r="Q42">
        <v>27.4</v>
      </c>
      <c r="R42">
        <v>26.8</v>
      </c>
      <c r="S42">
        <v>24.2</v>
      </c>
    </row>
    <row r="43" spans="1:19" x14ac:dyDescent="0.25">
      <c r="A43">
        <v>41</v>
      </c>
      <c r="B43" t="s">
        <v>8</v>
      </c>
      <c r="C43">
        <v>36.9</v>
      </c>
      <c r="D43">
        <v>22</v>
      </c>
      <c r="E43">
        <v>31.2</v>
      </c>
      <c r="F43">
        <v>29.2</v>
      </c>
      <c r="G43">
        <v>28.5</v>
      </c>
      <c r="H43">
        <v>27.2</v>
      </c>
      <c r="I43">
        <v>25.6</v>
      </c>
      <c r="J43">
        <v>31.5</v>
      </c>
      <c r="K43">
        <v>30</v>
      </c>
      <c r="L43">
        <v>28.6</v>
      </c>
      <c r="M43">
        <v>27.8</v>
      </c>
      <c r="N43">
        <v>25</v>
      </c>
      <c r="O43">
        <v>30</v>
      </c>
      <c r="P43">
        <v>29</v>
      </c>
      <c r="Q43">
        <v>28.5</v>
      </c>
      <c r="R43">
        <v>27.4</v>
      </c>
      <c r="S43">
        <v>25.2</v>
      </c>
    </row>
    <row r="44" spans="1:19" x14ac:dyDescent="0.25">
      <c r="A44">
        <v>42</v>
      </c>
      <c r="B44" t="s">
        <v>7</v>
      </c>
      <c r="C44">
        <v>36.9</v>
      </c>
      <c r="D44">
        <v>22</v>
      </c>
      <c r="E44">
        <v>31.5</v>
      </c>
      <c r="F44">
        <v>29.4</v>
      </c>
      <c r="G44">
        <v>28.8</v>
      </c>
      <c r="H44">
        <v>27.5</v>
      </c>
      <c r="I44">
        <v>26</v>
      </c>
      <c r="J44">
        <v>31.8</v>
      </c>
      <c r="K44">
        <v>30.2</v>
      </c>
      <c r="L44">
        <v>28.8</v>
      </c>
      <c r="M44">
        <v>28</v>
      </c>
      <c r="N44">
        <v>26.3</v>
      </c>
      <c r="O44">
        <v>30.3</v>
      </c>
      <c r="P44">
        <v>29.2</v>
      </c>
      <c r="Q44">
        <v>28.7</v>
      </c>
      <c r="R44">
        <v>27.8</v>
      </c>
      <c r="S44">
        <v>25.5</v>
      </c>
    </row>
    <row r="45" spans="1:19" x14ac:dyDescent="0.25">
      <c r="A45">
        <v>43</v>
      </c>
      <c r="B45" t="s">
        <v>8</v>
      </c>
      <c r="C45">
        <v>36.9</v>
      </c>
      <c r="D45">
        <v>24</v>
      </c>
      <c r="E45">
        <v>31.8</v>
      </c>
      <c r="F45">
        <v>30.2</v>
      </c>
      <c r="G45">
        <v>27.8</v>
      </c>
      <c r="H45">
        <v>27.2</v>
      </c>
      <c r="I45">
        <v>25.5</v>
      </c>
      <c r="J45">
        <v>32</v>
      </c>
      <c r="K45">
        <v>30.5</v>
      </c>
      <c r="L45">
        <v>28.2</v>
      </c>
      <c r="M45">
        <v>27.9</v>
      </c>
      <c r="N45">
        <v>25</v>
      </c>
      <c r="O45">
        <v>31</v>
      </c>
      <c r="P45">
        <v>30.7</v>
      </c>
      <c r="Q45">
        <v>28</v>
      </c>
      <c r="R45">
        <v>27</v>
      </c>
      <c r="S45">
        <v>26</v>
      </c>
    </row>
    <row r="46" spans="1:19" x14ac:dyDescent="0.25">
      <c r="A46">
        <v>44</v>
      </c>
      <c r="B46" t="s">
        <v>7</v>
      </c>
      <c r="C46">
        <v>36.9</v>
      </c>
      <c r="D46">
        <v>24</v>
      </c>
      <c r="E46">
        <v>32</v>
      </c>
      <c r="F46">
        <v>30.5</v>
      </c>
      <c r="G46">
        <v>27.9</v>
      </c>
      <c r="H46">
        <v>27.6</v>
      </c>
      <c r="I46">
        <v>26</v>
      </c>
      <c r="J46">
        <v>33</v>
      </c>
      <c r="K46">
        <v>30.8</v>
      </c>
      <c r="L46">
        <v>28.5</v>
      </c>
      <c r="M46">
        <v>28.2</v>
      </c>
      <c r="N46">
        <v>26</v>
      </c>
      <c r="O46">
        <v>31.5</v>
      </c>
      <c r="P46">
        <v>30.8</v>
      </c>
      <c r="Q46">
        <v>28.5</v>
      </c>
      <c r="R46">
        <v>27.5</v>
      </c>
      <c r="S46">
        <v>26.5</v>
      </c>
    </row>
    <row r="47" spans="1:19" x14ac:dyDescent="0.25">
      <c r="A47">
        <v>45</v>
      </c>
      <c r="B47" t="s">
        <v>7</v>
      </c>
      <c r="C47">
        <v>36.700000000000003</v>
      </c>
      <c r="D47">
        <v>24</v>
      </c>
      <c r="E47">
        <v>34.4</v>
      </c>
      <c r="F47">
        <v>32</v>
      </c>
      <c r="G47">
        <v>28.7</v>
      </c>
      <c r="H47">
        <v>27.4</v>
      </c>
      <c r="I47">
        <v>27</v>
      </c>
      <c r="J47">
        <v>35</v>
      </c>
      <c r="K47">
        <v>32.200000000000003</v>
      </c>
      <c r="L47">
        <v>29</v>
      </c>
      <c r="M47">
        <v>27.5</v>
      </c>
      <c r="N47">
        <v>27.2</v>
      </c>
      <c r="O47">
        <v>32</v>
      </c>
      <c r="P47">
        <v>31.2</v>
      </c>
      <c r="Q47">
        <v>28.8</v>
      </c>
      <c r="R47">
        <v>28.2</v>
      </c>
      <c r="S47">
        <v>28</v>
      </c>
    </row>
    <row r="48" spans="1:19" x14ac:dyDescent="0.25">
      <c r="A48">
        <v>46</v>
      </c>
      <c r="B48" t="s">
        <v>8</v>
      </c>
      <c r="C48">
        <v>36.5</v>
      </c>
      <c r="D48">
        <v>24</v>
      </c>
      <c r="E48">
        <v>32.5</v>
      </c>
      <c r="F48">
        <v>31.8</v>
      </c>
      <c r="G48">
        <v>28</v>
      </c>
      <c r="H48">
        <v>26.5</v>
      </c>
      <c r="I48">
        <v>26</v>
      </c>
      <c r="J48">
        <v>33</v>
      </c>
      <c r="K48">
        <v>32.4</v>
      </c>
      <c r="L48">
        <v>29.5</v>
      </c>
      <c r="M48">
        <v>27.5</v>
      </c>
      <c r="N48">
        <v>26.2</v>
      </c>
      <c r="O48">
        <v>32</v>
      </c>
      <c r="P48">
        <v>30.8</v>
      </c>
      <c r="Q48">
        <v>28.3</v>
      </c>
      <c r="R48">
        <v>27.5</v>
      </c>
      <c r="S48">
        <v>26</v>
      </c>
    </row>
    <row r="49" spans="1:19" x14ac:dyDescent="0.25">
      <c r="A49">
        <v>47</v>
      </c>
      <c r="B49" t="s">
        <v>7</v>
      </c>
      <c r="C49">
        <v>36.5</v>
      </c>
      <c r="D49">
        <v>24</v>
      </c>
      <c r="E49">
        <v>32.799999999999997</v>
      </c>
      <c r="F49">
        <v>32</v>
      </c>
      <c r="G49">
        <v>28.2</v>
      </c>
      <c r="H49">
        <v>26.8</v>
      </c>
      <c r="I49">
        <v>26.2</v>
      </c>
      <c r="J49">
        <v>33.299999999999997</v>
      </c>
      <c r="K49">
        <v>32.6</v>
      </c>
      <c r="L49">
        <v>29.8</v>
      </c>
      <c r="M49">
        <v>27.8</v>
      </c>
      <c r="N49">
        <v>26.5</v>
      </c>
      <c r="O49">
        <v>32.200000000000003</v>
      </c>
      <c r="P49">
        <v>31</v>
      </c>
      <c r="Q49">
        <v>28.5</v>
      </c>
      <c r="R49">
        <v>27.8</v>
      </c>
      <c r="S49">
        <v>26.2</v>
      </c>
    </row>
    <row r="50" spans="1:19" x14ac:dyDescent="0.25">
      <c r="A50">
        <v>48</v>
      </c>
      <c r="B50" t="s">
        <v>8</v>
      </c>
      <c r="C50">
        <v>36.9</v>
      </c>
      <c r="D50">
        <v>24</v>
      </c>
      <c r="E50">
        <v>32.200000000000003</v>
      </c>
      <c r="F50">
        <v>30.5</v>
      </c>
      <c r="G50">
        <v>29.3</v>
      </c>
      <c r="H50">
        <v>28.5</v>
      </c>
      <c r="I50">
        <v>27.1</v>
      </c>
      <c r="J50">
        <v>31.5</v>
      </c>
      <c r="K50">
        <v>30.5</v>
      </c>
      <c r="L50">
        <v>30</v>
      </c>
      <c r="M50">
        <v>28.8</v>
      </c>
      <c r="N50">
        <v>27.5</v>
      </c>
      <c r="O50">
        <v>30.9</v>
      </c>
      <c r="P50">
        <v>30.2</v>
      </c>
      <c r="Q50">
        <v>29</v>
      </c>
      <c r="R50">
        <v>28.8</v>
      </c>
      <c r="S50">
        <v>26</v>
      </c>
    </row>
    <row r="51" spans="1:19" x14ac:dyDescent="0.25">
      <c r="A51">
        <v>49</v>
      </c>
      <c r="B51" t="s">
        <v>7</v>
      </c>
      <c r="C51">
        <v>36.9</v>
      </c>
      <c r="D51">
        <v>24</v>
      </c>
      <c r="E51">
        <v>32.799999999999997</v>
      </c>
      <c r="F51">
        <v>30.7</v>
      </c>
      <c r="G51">
        <v>29.5</v>
      </c>
      <c r="H51">
        <v>28.8</v>
      </c>
      <c r="I51">
        <v>27.4</v>
      </c>
      <c r="J51">
        <v>32.299999999999997</v>
      </c>
      <c r="K51">
        <v>30.8</v>
      </c>
      <c r="L51">
        <v>30.2</v>
      </c>
      <c r="M51">
        <v>29</v>
      </c>
      <c r="N51">
        <v>27.8</v>
      </c>
      <c r="O51">
        <v>31.2</v>
      </c>
      <c r="P51">
        <v>30.4</v>
      </c>
      <c r="Q51">
        <v>30.2</v>
      </c>
      <c r="R51">
        <v>27</v>
      </c>
      <c r="S51">
        <v>26.5</v>
      </c>
    </row>
    <row r="52" spans="1:19" x14ac:dyDescent="0.25">
      <c r="A52">
        <v>50</v>
      </c>
      <c r="B52" t="s">
        <v>8</v>
      </c>
      <c r="C52">
        <v>36.9</v>
      </c>
      <c r="D52">
        <v>24</v>
      </c>
      <c r="E52">
        <v>32.700000000000003</v>
      </c>
      <c r="F52">
        <v>31.5</v>
      </c>
      <c r="G52">
        <v>30.2</v>
      </c>
      <c r="H52">
        <v>28.5</v>
      </c>
      <c r="I52">
        <v>27.8</v>
      </c>
      <c r="J52">
        <v>32.799999999999997</v>
      </c>
      <c r="K52">
        <v>32.200000000000003</v>
      </c>
      <c r="L52">
        <v>30.5</v>
      </c>
      <c r="M52">
        <v>28.5</v>
      </c>
      <c r="N52">
        <v>28</v>
      </c>
      <c r="O52">
        <v>31.5</v>
      </c>
      <c r="P52">
        <v>30.8</v>
      </c>
      <c r="Q52">
        <v>29.3</v>
      </c>
      <c r="R52">
        <v>27</v>
      </c>
      <c r="S52">
        <v>25.5</v>
      </c>
    </row>
    <row r="53" spans="1:19" x14ac:dyDescent="0.25">
      <c r="A53">
        <v>51</v>
      </c>
      <c r="B53" t="s">
        <v>7</v>
      </c>
      <c r="C53">
        <v>36.9</v>
      </c>
      <c r="D53">
        <v>24</v>
      </c>
      <c r="E53">
        <v>32.799999999999997</v>
      </c>
      <c r="F53">
        <v>31.8</v>
      </c>
      <c r="G53">
        <v>30.5</v>
      </c>
      <c r="H53">
        <v>28.8</v>
      </c>
      <c r="I53">
        <v>28</v>
      </c>
      <c r="J53">
        <v>32.799999999999997</v>
      </c>
      <c r="K53">
        <v>32.5</v>
      </c>
      <c r="L53">
        <v>30.9</v>
      </c>
      <c r="M53">
        <v>28.7</v>
      </c>
      <c r="N53">
        <v>28.1</v>
      </c>
      <c r="O53">
        <v>31.7</v>
      </c>
      <c r="P53">
        <v>31</v>
      </c>
      <c r="Q53">
        <v>30.1</v>
      </c>
      <c r="R53">
        <v>27.4</v>
      </c>
      <c r="S53">
        <v>26</v>
      </c>
    </row>
    <row r="54" spans="1:19" x14ac:dyDescent="0.25">
      <c r="A54">
        <v>52</v>
      </c>
      <c r="B54" t="s">
        <v>7</v>
      </c>
      <c r="C54">
        <v>36.6</v>
      </c>
      <c r="D54">
        <v>24</v>
      </c>
      <c r="E54">
        <v>32.5</v>
      </c>
      <c r="F54">
        <v>31</v>
      </c>
      <c r="G54">
        <v>30.2</v>
      </c>
      <c r="H54">
        <v>27.8</v>
      </c>
      <c r="I54">
        <v>27</v>
      </c>
      <c r="J54">
        <v>32.6</v>
      </c>
      <c r="K54">
        <v>32.200000000000003</v>
      </c>
      <c r="L54">
        <v>30.5</v>
      </c>
      <c r="M54">
        <v>28.5</v>
      </c>
      <c r="N54">
        <v>28.2</v>
      </c>
      <c r="O54">
        <v>31.6</v>
      </c>
      <c r="P54">
        <v>30.8</v>
      </c>
      <c r="Q54">
        <v>29.7</v>
      </c>
      <c r="R54">
        <v>27</v>
      </c>
      <c r="S54">
        <v>25.7</v>
      </c>
    </row>
    <row r="55" spans="1:19" x14ac:dyDescent="0.25">
      <c r="A55">
        <v>53</v>
      </c>
      <c r="B55" t="s">
        <v>8</v>
      </c>
      <c r="C55">
        <v>36.799999999999997</v>
      </c>
      <c r="D55">
        <v>24</v>
      </c>
      <c r="E55">
        <v>31.3</v>
      </c>
      <c r="F55">
        <v>30.1</v>
      </c>
      <c r="G55">
        <v>29.5</v>
      </c>
      <c r="H55">
        <v>27.5</v>
      </c>
      <c r="I55">
        <v>26.9</v>
      </c>
      <c r="J55">
        <v>31.5</v>
      </c>
      <c r="K55">
        <v>30</v>
      </c>
      <c r="L55">
        <v>29.7</v>
      </c>
      <c r="M55">
        <v>28</v>
      </c>
      <c r="N55">
        <v>27</v>
      </c>
      <c r="O55">
        <v>31</v>
      </c>
      <c r="P55">
        <v>29.7</v>
      </c>
      <c r="Q55">
        <v>28</v>
      </c>
      <c r="R55">
        <v>27</v>
      </c>
      <c r="S55">
        <v>26.8</v>
      </c>
    </row>
    <row r="56" spans="1:19" x14ac:dyDescent="0.25">
      <c r="A56">
        <v>54</v>
      </c>
      <c r="B56" t="s">
        <v>7</v>
      </c>
      <c r="C56">
        <v>36.799999999999997</v>
      </c>
      <c r="D56">
        <v>24</v>
      </c>
      <c r="E56">
        <v>32.200000000000003</v>
      </c>
      <c r="F56">
        <v>30.4</v>
      </c>
      <c r="G56">
        <v>29.8</v>
      </c>
      <c r="H56">
        <v>27.6</v>
      </c>
      <c r="I56">
        <v>27</v>
      </c>
      <c r="J56">
        <v>32.5</v>
      </c>
      <c r="K56">
        <v>30.4</v>
      </c>
      <c r="L56">
        <v>30</v>
      </c>
      <c r="M56">
        <v>28.3</v>
      </c>
      <c r="N56">
        <v>27</v>
      </c>
      <c r="O56">
        <v>31.5</v>
      </c>
      <c r="P56">
        <v>30.2</v>
      </c>
      <c r="Q56">
        <v>28.5</v>
      </c>
      <c r="R56">
        <v>27.3</v>
      </c>
      <c r="S56">
        <v>26.8</v>
      </c>
    </row>
    <row r="57" spans="1:19" x14ac:dyDescent="0.25">
      <c r="A57">
        <v>55</v>
      </c>
      <c r="B57" t="s">
        <v>7</v>
      </c>
      <c r="C57">
        <v>36.9</v>
      </c>
      <c r="D57">
        <v>24</v>
      </c>
      <c r="E57">
        <v>32.5</v>
      </c>
      <c r="F57">
        <v>30.2</v>
      </c>
      <c r="G57">
        <v>28.9</v>
      </c>
      <c r="H57">
        <v>27.5</v>
      </c>
      <c r="I57">
        <v>26.9</v>
      </c>
      <c r="J57">
        <v>33</v>
      </c>
      <c r="K57">
        <v>30.4</v>
      </c>
      <c r="L57">
        <v>29.2</v>
      </c>
      <c r="M57">
        <v>27.5</v>
      </c>
      <c r="N57">
        <v>27</v>
      </c>
      <c r="O57">
        <v>31.7</v>
      </c>
      <c r="P57">
        <v>30</v>
      </c>
      <c r="Q57">
        <v>28.5</v>
      </c>
      <c r="R57">
        <v>27.2</v>
      </c>
      <c r="S57">
        <v>26.6</v>
      </c>
    </row>
    <row r="58" spans="1:19" x14ac:dyDescent="0.25">
      <c r="A58">
        <v>56</v>
      </c>
      <c r="B58" t="s">
        <v>7</v>
      </c>
      <c r="C58">
        <v>36.700000000000003</v>
      </c>
      <c r="D58">
        <v>25</v>
      </c>
      <c r="E58">
        <v>32.1</v>
      </c>
      <c r="F58">
        <v>29.8</v>
      </c>
      <c r="G58">
        <v>28.4</v>
      </c>
      <c r="H58">
        <v>27.5</v>
      </c>
      <c r="I58">
        <v>26</v>
      </c>
      <c r="J58">
        <v>32</v>
      </c>
      <c r="K58">
        <v>30.1</v>
      </c>
      <c r="L58">
        <v>28.8</v>
      </c>
      <c r="M58">
        <v>28</v>
      </c>
      <c r="N58">
        <v>26.2</v>
      </c>
      <c r="O58">
        <v>31.5</v>
      </c>
      <c r="P58">
        <v>30</v>
      </c>
      <c r="Q58">
        <v>28.8</v>
      </c>
      <c r="R58">
        <v>27</v>
      </c>
      <c r="S58">
        <v>25.9</v>
      </c>
    </row>
    <row r="59" spans="1:19" x14ac:dyDescent="0.25">
      <c r="A59">
        <v>57</v>
      </c>
      <c r="B59" t="s">
        <v>8</v>
      </c>
      <c r="C59">
        <v>36.799999999999997</v>
      </c>
      <c r="D59">
        <v>25</v>
      </c>
      <c r="E59">
        <v>32.1</v>
      </c>
      <c r="F59">
        <v>29.4</v>
      </c>
      <c r="G59">
        <v>28.5</v>
      </c>
      <c r="H59">
        <v>27.8</v>
      </c>
      <c r="I59">
        <v>27</v>
      </c>
      <c r="J59">
        <v>32.6</v>
      </c>
      <c r="K59">
        <v>30.1</v>
      </c>
      <c r="L59">
        <v>29</v>
      </c>
      <c r="M59">
        <v>28.5</v>
      </c>
      <c r="N59">
        <v>27.2</v>
      </c>
      <c r="O59">
        <v>31</v>
      </c>
      <c r="P59">
        <v>29</v>
      </c>
      <c r="Q59">
        <v>28.5</v>
      </c>
      <c r="R59">
        <v>27</v>
      </c>
      <c r="S59">
        <v>26</v>
      </c>
    </row>
    <row r="60" spans="1:19" x14ac:dyDescent="0.25">
      <c r="A60">
        <v>58</v>
      </c>
      <c r="B60" t="s">
        <v>7</v>
      </c>
      <c r="C60">
        <v>36.799999999999997</v>
      </c>
      <c r="D60">
        <v>25</v>
      </c>
      <c r="E60">
        <v>32.5</v>
      </c>
      <c r="F60">
        <v>30.1</v>
      </c>
      <c r="G60">
        <v>28.8</v>
      </c>
      <c r="H60">
        <v>27.9</v>
      </c>
      <c r="I60">
        <v>27.2</v>
      </c>
      <c r="J60">
        <v>33.1</v>
      </c>
      <c r="K60">
        <v>30.6</v>
      </c>
      <c r="L60">
        <v>29.5</v>
      </c>
      <c r="M60">
        <v>28.5</v>
      </c>
      <c r="N60">
        <v>27.4</v>
      </c>
      <c r="O60">
        <v>31.2</v>
      </c>
      <c r="P60">
        <v>29.2</v>
      </c>
      <c r="Q60">
        <v>28.8</v>
      </c>
      <c r="R60">
        <v>27.7</v>
      </c>
      <c r="S60">
        <v>26.3</v>
      </c>
    </row>
    <row r="61" spans="1:19" x14ac:dyDescent="0.25">
      <c r="A61">
        <v>59</v>
      </c>
      <c r="B61" t="s">
        <v>8</v>
      </c>
      <c r="C61">
        <v>36.9</v>
      </c>
      <c r="D61">
        <v>25</v>
      </c>
      <c r="E61">
        <v>31.5</v>
      </c>
      <c r="F61">
        <v>30.1</v>
      </c>
      <c r="G61">
        <v>30.1</v>
      </c>
      <c r="H61">
        <v>28.9</v>
      </c>
      <c r="I61">
        <v>28.2</v>
      </c>
      <c r="J61">
        <v>32.200000000000003</v>
      </c>
      <c r="K61">
        <v>30.5</v>
      </c>
      <c r="L61">
        <v>29.8</v>
      </c>
      <c r="M61">
        <v>29</v>
      </c>
      <c r="N61">
        <v>28</v>
      </c>
      <c r="O61">
        <v>30.5</v>
      </c>
      <c r="P61">
        <v>29.9</v>
      </c>
      <c r="Q61">
        <v>29</v>
      </c>
      <c r="R61">
        <v>28</v>
      </c>
      <c r="S61">
        <v>27</v>
      </c>
    </row>
    <row r="62" spans="1:19" x14ac:dyDescent="0.25">
      <c r="A62">
        <v>60</v>
      </c>
      <c r="B62" t="s">
        <v>7</v>
      </c>
      <c r="C62">
        <v>36.9</v>
      </c>
      <c r="D62">
        <v>25</v>
      </c>
      <c r="E62">
        <v>32</v>
      </c>
      <c r="F62">
        <v>30.6</v>
      </c>
      <c r="G62">
        <v>30.4</v>
      </c>
      <c r="H62">
        <v>29</v>
      </c>
      <c r="I62">
        <v>28.3</v>
      </c>
      <c r="J62">
        <v>32.5</v>
      </c>
      <c r="K62">
        <v>30.7</v>
      </c>
      <c r="L62">
        <v>30.1</v>
      </c>
      <c r="M62">
        <v>29.3</v>
      </c>
      <c r="N62">
        <v>28</v>
      </c>
      <c r="O62">
        <v>30.6</v>
      </c>
      <c r="P62">
        <v>30</v>
      </c>
      <c r="Q62">
        <v>29.4</v>
      </c>
      <c r="R62">
        <v>28.7</v>
      </c>
      <c r="S62">
        <v>27.2</v>
      </c>
    </row>
    <row r="63" spans="1:19" x14ac:dyDescent="0.25">
      <c r="A63">
        <v>61</v>
      </c>
      <c r="B63" t="s">
        <v>7</v>
      </c>
      <c r="C63">
        <v>36.9</v>
      </c>
      <c r="D63">
        <v>25</v>
      </c>
      <c r="E63">
        <v>32.299999999999997</v>
      </c>
      <c r="F63">
        <v>31.2</v>
      </c>
      <c r="G63">
        <v>30.3</v>
      </c>
      <c r="H63">
        <v>29.5</v>
      </c>
      <c r="I63">
        <v>28.1</v>
      </c>
      <c r="J63">
        <v>33.1</v>
      </c>
      <c r="K63">
        <v>31.5</v>
      </c>
      <c r="L63">
        <v>30.6</v>
      </c>
      <c r="M63">
        <v>29.6</v>
      </c>
      <c r="N63">
        <v>28.3</v>
      </c>
      <c r="O63">
        <v>30.8</v>
      </c>
      <c r="P63">
        <v>30.2</v>
      </c>
      <c r="Q63">
        <v>29.4</v>
      </c>
      <c r="R63">
        <v>28</v>
      </c>
      <c r="S63">
        <v>27</v>
      </c>
    </row>
    <row r="64" spans="1:19" x14ac:dyDescent="0.25">
      <c r="A64">
        <v>62</v>
      </c>
      <c r="B64" t="s">
        <v>8</v>
      </c>
      <c r="C64">
        <v>36.6</v>
      </c>
      <c r="D64">
        <v>25</v>
      </c>
      <c r="E64">
        <v>31.8</v>
      </c>
      <c r="F64">
        <v>30.5</v>
      </c>
      <c r="G64">
        <v>29.5</v>
      </c>
      <c r="H64">
        <v>28.8</v>
      </c>
      <c r="I64">
        <v>27.8</v>
      </c>
      <c r="J64">
        <v>32.700000000000003</v>
      </c>
      <c r="K64">
        <v>31.1</v>
      </c>
      <c r="L64">
        <v>30.4</v>
      </c>
      <c r="M64">
        <v>29.1</v>
      </c>
      <c r="N64">
        <v>28</v>
      </c>
      <c r="O64">
        <v>31</v>
      </c>
      <c r="P64">
        <v>30.2</v>
      </c>
      <c r="Q64">
        <v>29</v>
      </c>
      <c r="R64">
        <v>28.3</v>
      </c>
      <c r="S64">
        <v>27</v>
      </c>
    </row>
    <row r="65" spans="1:19" x14ac:dyDescent="0.25">
      <c r="A65">
        <v>63</v>
      </c>
      <c r="B65" t="s">
        <v>7</v>
      </c>
      <c r="C65">
        <v>36.6</v>
      </c>
      <c r="D65">
        <v>25</v>
      </c>
      <c r="E65">
        <v>32.200000000000003</v>
      </c>
      <c r="F65">
        <v>30.6</v>
      </c>
      <c r="G65">
        <v>29.5</v>
      </c>
      <c r="H65">
        <v>29</v>
      </c>
      <c r="I65">
        <v>28.1</v>
      </c>
      <c r="J65">
        <v>32.700000000000003</v>
      </c>
      <c r="K65">
        <v>31.4</v>
      </c>
      <c r="L65">
        <v>30.6</v>
      </c>
      <c r="M65">
        <v>29.4</v>
      </c>
      <c r="N65">
        <v>28.3</v>
      </c>
      <c r="O65">
        <v>31.4</v>
      </c>
      <c r="P65">
        <v>30.2</v>
      </c>
      <c r="Q65">
        <v>29.2</v>
      </c>
      <c r="R65">
        <v>28.6</v>
      </c>
      <c r="S65">
        <v>27</v>
      </c>
    </row>
    <row r="66" spans="1:19" x14ac:dyDescent="0.25">
      <c r="A66">
        <v>64</v>
      </c>
      <c r="B66" t="s">
        <v>7</v>
      </c>
      <c r="C66">
        <v>36.700000000000003</v>
      </c>
      <c r="D66">
        <v>25</v>
      </c>
      <c r="E66">
        <v>32.700000000000003</v>
      </c>
      <c r="F66">
        <v>30.5</v>
      </c>
      <c r="G66">
        <v>29.5</v>
      </c>
      <c r="H66">
        <v>29</v>
      </c>
      <c r="I66">
        <v>28.1</v>
      </c>
      <c r="J66">
        <v>33.200000000000003</v>
      </c>
      <c r="K66">
        <v>31.1</v>
      </c>
      <c r="L66">
        <v>30</v>
      </c>
      <c r="M66">
        <v>29.6</v>
      </c>
      <c r="N66">
        <v>28</v>
      </c>
      <c r="O66">
        <v>31.2</v>
      </c>
      <c r="P66">
        <v>29.5</v>
      </c>
      <c r="Q66">
        <v>28.4</v>
      </c>
      <c r="R66">
        <v>27.3</v>
      </c>
      <c r="S66">
        <v>26.5</v>
      </c>
    </row>
    <row r="67" spans="1:19" x14ac:dyDescent="0.25">
      <c r="A67">
        <v>65</v>
      </c>
      <c r="B67" t="s">
        <v>7</v>
      </c>
      <c r="C67">
        <v>36.9</v>
      </c>
      <c r="D67">
        <v>25</v>
      </c>
      <c r="E67">
        <v>32.799999999999997</v>
      </c>
      <c r="F67">
        <v>31.2</v>
      </c>
      <c r="G67">
        <v>29.6</v>
      </c>
      <c r="H67">
        <v>28.7</v>
      </c>
      <c r="I67">
        <v>27.7</v>
      </c>
      <c r="J67">
        <v>33</v>
      </c>
      <c r="K67">
        <v>31.7</v>
      </c>
      <c r="L67">
        <v>30</v>
      </c>
      <c r="M67">
        <v>29</v>
      </c>
      <c r="N67">
        <v>28</v>
      </c>
      <c r="O67">
        <v>31.1</v>
      </c>
      <c r="P67">
        <v>30</v>
      </c>
      <c r="Q67">
        <v>29.2</v>
      </c>
      <c r="R67">
        <v>28.1</v>
      </c>
      <c r="S67">
        <v>27</v>
      </c>
    </row>
    <row r="68" spans="1:19" x14ac:dyDescent="0.25">
      <c r="A68">
        <v>66</v>
      </c>
      <c r="B68" t="s">
        <v>7</v>
      </c>
      <c r="C68">
        <v>36.799999999999997</v>
      </c>
      <c r="D68">
        <v>25</v>
      </c>
      <c r="E68">
        <v>32.200000000000003</v>
      </c>
      <c r="F68">
        <v>31</v>
      </c>
      <c r="G68">
        <v>30.1</v>
      </c>
      <c r="H68">
        <v>28.5</v>
      </c>
      <c r="I68">
        <v>27.2</v>
      </c>
      <c r="J68">
        <v>33</v>
      </c>
      <c r="K68">
        <v>31.5</v>
      </c>
      <c r="L68">
        <v>30.5</v>
      </c>
      <c r="M68">
        <v>28.8</v>
      </c>
      <c r="N68">
        <v>27.5</v>
      </c>
      <c r="O68">
        <v>31.4</v>
      </c>
      <c r="P68">
        <v>30.8</v>
      </c>
      <c r="Q68">
        <v>29.5</v>
      </c>
      <c r="R68">
        <v>27.8</v>
      </c>
      <c r="S68">
        <v>26.5</v>
      </c>
    </row>
    <row r="69" spans="1:19" x14ac:dyDescent="0.25">
      <c r="A69">
        <v>67</v>
      </c>
      <c r="B69" t="s">
        <v>8</v>
      </c>
      <c r="C69">
        <v>36.6</v>
      </c>
      <c r="D69">
        <v>25</v>
      </c>
      <c r="E69">
        <v>31.7</v>
      </c>
      <c r="F69">
        <v>29.6</v>
      </c>
      <c r="G69">
        <v>28.3</v>
      </c>
      <c r="H69">
        <v>27.8</v>
      </c>
      <c r="I69">
        <v>27.6</v>
      </c>
      <c r="J69">
        <v>32.6</v>
      </c>
      <c r="K69">
        <v>30.1</v>
      </c>
      <c r="L69">
        <v>29.3</v>
      </c>
      <c r="M69">
        <v>28.8</v>
      </c>
      <c r="N69">
        <v>28.5</v>
      </c>
      <c r="O69">
        <v>29.2</v>
      </c>
      <c r="P69">
        <v>27.7</v>
      </c>
      <c r="Q69">
        <v>26.2</v>
      </c>
      <c r="R69">
        <v>24.1</v>
      </c>
      <c r="S69">
        <v>23.9</v>
      </c>
    </row>
    <row r="70" spans="1:19" x14ac:dyDescent="0.25">
      <c r="A70">
        <v>68</v>
      </c>
      <c r="B70" t="s">
        <v>7</v>
      </c>
      <c r="C70">
        <v>36.6</v>
      </c>
      <c r="D70">
        <v>25</v>
      </c>
      <c r="E70">
        <v>32.799999999999997</v>
      </c>
      <c r="F70">
        <v>30.1</v>
      </c>
      <c r="G70">
        <v>28.5</v>
      </c>
      <c r="H70">
        <v>28.4</v>
      </c>
      <c r="I70">
        <v>27.7</v>
      </c>
      <c r="J70">
        <v>33.200000000000003</v>
      </c>
      <c r="K70">
        <v>30.6</v>
      </c>
      <c r="L70">
        <v>29.3</v>
      </c>
      <c r="M70">
        <v>28.7</v>
      </c>
      <c r="N70">
        <v>28.8</v>
      </c>
      <c r="O70">
        <v>28.9</v>
      </c>
      <c r="P70">
        <v>29.1</v>
      </c>
      <c r="Q70">
        <v>26.6</v>
      </c>
      <c r="R70">
        <v>24.2</v>
      </c>
      <c r="S70">
        <v>24.6</v>
      </c>
    </row>
  </sheetData>
  <mergeCells count="3">
    <mergeCell ref="E1:I1"/>
    <mergeCell ref="J1:N1"/>
    <mergeCell ref="O1:S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8527-B891-4A71-9301-3C14E32B3D69}">
  <dimension ref="A1:H104"/>
  <sheetViews>
    <sheetView topLeftCell="A73" workbookViewId="0">
      <selection activeCell="D102" sqref="D102"/>
    </sheetView>
  </sheetViews>
  <sheetFormatPr defaultRowHeight="13.2" x14ac:dyDescent="0.25"/>
  <cols>
    <col min="2" max="2" width="11.88671875" customWidth="1"/>
    <col min="3" max="3" width="27.6640625" customWidth="1"/>
    <col min="5" max="5" width="8.44140625" customWidth="1"/>
  </cols>
  <sheetData>
    <row r="1" spans="1:8" x14ac:dyDescent="0.25">
      <c r="D1" t="s">
        <v>25</v>
      </c>
    </row>
    <row r="2" spans="1:8" x14ac:dyDescent="0.25">
      <c r="A2" t="str">
        <f>Raw_Data!B2</f>
        <v>glasses</v>
      </c>
      <c r="B2" t="s">
        <v>15</v>
      </c>
      <c r="C2" t="s">
        <v>14</v>
      </c>
      <c r="D2" t="str">
        <f>Raw_Data!E2</f>
        <v>1M</v>
      </c>
      <c r="E2" t="str">
        <f>Raw_Data!F2</f>
        <v>2M</v>
      </c>
      <c r="F2" t="str">
        <f>Raw_Data!G2</f>
        <v>3M</v>
      </c>
      <c r="G2" t="str">
        <f>Raw_Data!H2</f>
        <v>4M</v>
      </c>
      <c r="H2" t="str">
        <f>Raw_Data!I2</f>
        <v>5M</v>
      </c>
    </row>
    <row r="3" spans="1:8" x14ac:dyDescent="0.25">
      <c r="A3" t="str">
        <f>Raw_Data!B3</f>
        <v>N</v>
      </c>
      <c r="B3">
        <f>Raw_Data!C3</f>
        <v>36.799999999999997</v>
      </c>
      <c r="C3">
        <v>16</v>
      </c>
      <c r="D3">
        <f>Raw_Data!E3</f>
        <v>30.3</v>
      </c>
      <c r="E3">
        <f>Raw_Data!F3</f>
        <v>25.5</v>
      </c>
      <c r="F3">
        <f>Raw_Data!G3</f>
        <v>23</v>
      </c>
      <c r="G3">
        <f>Raw_Data!H3</f>
        <v>22.06</v>
      </c>
      <c r="H3">
        <f>Raw_Data!I3</f>
        <v>21.5</v>
      </c>
    </row>
    <row r="4" spans="1:8" x14ac:dyDescent="0.25">
      <c r="A4" t="str">
        <f>Raw_Data!B4</f>
        <v>Y</v>
      </c>
      <c r="B4">
        <f>Raw_Data!C4</f>
        <v>36.799999999999997</v>
      </c>
      <c r="C4">
        <v>16</v>
      </c>
      <c r="D4">
        <f>Raw_Data!E4</f>
        <v>30</v>
      </c>
      <c r="E4">
        <f>Raw_Data!F4</f>
        <v>29.5</v>
      </c>
      <c r="F4">
        <f>Raw_Data!G4</f>
        <v>26</v>
      </c>
      <c r="G4">
        <f>Raw_Data!H4</f>
        <v>24.5</v>
      </c>
      <c r="H4">
        <f>Raw_Data!I4</f>
        <v>22.5</v>
      </c>
    </row>
    <row r="5" spans="1:8" x14ac:dyDescent="0.25">
      <c r="A5" t="str">
        <f>Raw_Data!B5</f>
        <v>N</v>
      </c>
      <c r="B5">
        <f>Raw_Data!C5</f>
        <v>36.799999999999997</v>
      </c>
      <c r="C5">
        <v>16</v>
      </c>
      <c r="D5">
        <f>Raw_Data!E5</f>
        <v>30.3</v>
      </c>
      <c r="E5">
        <f>Raw_Data!F5</f>
        <v>30</v>
      </c>
      <c r="F5">
        <f>Raw_Data!G5</f>
        <v>25.5</v>
      </c>
      <c r="G5">
        <f>Raw_Data!H5</f>
        <v>23.5</v>
      </c>
      <c r="H5">
        <f>Raw_Data!I5</f>
        <v>22</v>
      </c>
    </row>
    <row r="6" spans="1:8" x14ac:dyDescent="0.25">
      <c r="A6" t="str">
        <f>Raw_Data!B6</f>
        <v>Y</v>
      </c>
      <c r="B6">
        <f>Raw_Data!C6</f>
        <v>36.6</v>
      </c>
      <c r="C6">
        <v>16</v>
      </c>
      <c r="D6">
        <f>Raw_Data!E6</f>
        <v>30.5</v>
      </c>
      <c r="E6">
        <f>Raw_Data!F6</f>
        <v>27.9</v>
      </c>
      <c r="F6">
        <f>Raw_Data!G6</f>
        <v>25.2</v>
      </c>
      <c r="G6">
        <f>Raw_Data!H6</f>
        <v>23</v>
      </c>
      <c r="H6">
        <f>Raw_Data!I6</f>
        <v>21.7</v>
      </c>
    </row>
    <row r="7" spans="1:8" x14ac:dyDescent="0.25">
      <c r="A7" t="str">
        <f>Raw_Data!B7</f>
        <v>N</v>
      </c>
      <c r="B7">
        <f>Raw_Data!C7</f>
        <v>36.6</v>
      </c>
      <c r="C7">
        <v>16</v>
      </c>
      <c r="D7">
        <f>Raw_Data!E7</f>
        <v>31</v>
      </c>
      <c r="E7">
        <f>Raw_Data!F7</f>
        <v>29.1</v>
      </c>
      <c r="F7">
        <f>Raw_Data!G7</f>
        <v>25.5</v>
      </c>
      <c r="G7">
        <f>Raw_Data!H7</f>
        <v>23.5</v>
      </c>
      <c r="H7">
        <f>Raw_Data!I7</f>
        <v>22</v>
      </c>
    </row>
    <row r="8" spans="1:8" x14ac:dyDescent="0.25">
      <c r="A8" t="str">
        <f>Raw_Data!B8</f>
        <v>Y</v>
      </c>
      <c r="B8">
        <f>Raw_Data!C8</f>
        <v>35.4</v>
      </c>
      <c r="C8">
        <v>16</v>
      </c>
      <c r="D8">
        <f>Raw_Data!E8</f>
        <v>30</v>
      </c>
      <c r="E8">
        <f>Raw_Data!F8</f>
        <v>25.5</v>
      </c>
      <c r="F8">
        <f>Raw_Data!G8</f>
        <v>23</v>
      </c>
      <c r="G8">
        <f>Raw_Data!H8</f>
        <v>22.5</v>
      </c>
      <c r="H8">
        <f>Raw_Data!I8</f>
        <v>21.5</v>
      </c>
    </row>
    <row r="9" spans="1:8" x14ac:dyDescent="0.25">
      <c r="A9" t="str">
        <f>Raw_Data!B9</f>
        <v>N</v>
      </c>
      <c r="B9">
        <f>Raw_Data!C9</f>
        <v>35.4</v>
      </c>
      <c r="C9">
        <v>16</v>
      </c>
      <c r="D9">
        <f>Raw_Data!E9</f>
        <v>30.5</v>
      </c>
      <c r="E9">
        <f>Raw_Data!F9</f>
        <v>26</v>
      </c>
      <c r="F9">
        <f>Raw_Data!G9</f>
        <v>23.5</v>
      </c>
      <c r="G9">
        <f>Raw_Data!H9</f>
        <v>22.7</v>
      </c>
      <c r="H9">
        <f>Raw_Data!I9</f>
        <v>21</v>
      </c>
    </row>
    <row r="10" spans="1:8" x14ac:dyDescent="0.25">
      <c r="A10" t="str">
        <f>Raw_Data!B10</f>
        <v>N</v>
      </c>
      <c r="B10">
        <f>Raw_Data!C10</f>
        <v>36.700000000000003</v>
      </c>
      <c r="C10">
        <v>16</v>
      </c>
      <c r="D10">
        <f>Raw_Data!E10</f>
        <v>30</v>
      </c>
      <c r="E10">
        <f>Raw_Data!F10</f>
        <v>26</v>
      </c>
      <c r="F10">
        <f>Raw_Data!G10</f>
        <v>24.3</v>
      </c>
      <c r="G10">
        <f>Raw_Data!H10</f>
        <v>22.9</v>
      </c>
      <c r="H10">
        <f>Raw_Data!I10</f>
        <v>21.5</v>
      </c>
    </row>
    <row r="11" spans="1:8" x14ac:dyDescent="0.25">
      <c r="A11" t="str">
        <f>Raw_Data!B11</f>
        <v>N</v>
      </c>
      <c r="B11">
        <f>Raw_Data!C11</f>
        <v>36.1</v>
      </c>
      <c r="C11">
        <v>16</v>
      </c>
      <c r="D11">
        <f>Raw_Data!E11</f>
        <v>30</v>
      </c>
      <c r="E11">
        <f>Raw_Data!F11</f>
        <v>26.7</v>
      </c>
      <c r="F11">
        <f>Raw_Data!G11</f>
        <v>24.5</v>
      </c>
      <c r="G11">
        <f>Raw_Data!H11</f>
        <v>23.8</v>
      </c>
      <c r="H11">
        <f>Raw_Data!I11</f>
        <v>22.1</v>
      </c>
    </row>
    <row r="12" spans="1:8" x14ac:dyDescent="0.25">
      <c r="A12" t="str">
        <f>Raw_Data!B12</f>
        <v>Y</v>
      </c>
      <c r="B12">
        <f>Raw_Data!C12</f>
        <v>36.6</v>
      </c>
      <c r="C12">
        <v>16</v>
      </c>
      <c r="D12">
        <f>Raw_Data!E12</f>
        <v>29.5</v>
      </c>
      <c r="E12">
        <f>Raw_Data!F12</f>
        <v>26.05</v>
      </c>
      <c r="F12">
        <f>Raw_Data!G12</f>
        <v>23.6</v>
      </c>
      <c r="G12">
        <f>Raw_Data!H12</f>
        <v>22.5</v>
      </c>
      <c r="H12">
        <f>Raw_Data!I12</f>
        <v>21.8</v>
      </c>
    </row>
    <row r="13" spans="1:8" x14ac:dyDescent="0.25">
      <c r="A13" t="str">
        <f>Raw_Data!B13</f>
        <v>N</v>
      </c>
      <c r="B13">
        <f>Raw_Data!C13</f>
        <v>36.6</v>
      </c>
      <c r="C13">
        <v>16</v>
      </c>
      <c r="D13">
        <f>Raw_Data!E13</f>
        <v>30</v>
      </c>
      <c r="E13">
        <f>Raw_Data!F13</f>
        <v>26.32</v>
      </c>
      <c r="F13">
        <f>Raw_Data!G13</f>
        <v>23.9</v>
      </c>
      <c r="G13">
        <f>Raw_Data!H13</f>
        <v>22.7</v>
      </c>
      <c r="H13">
        <f>Raw_Data!I13</f>
        <v>21.9</v>
      </c>
    </row>
    <row r="14" spans="1:8" x14ac:dyDescent="0.25">
      <c r="A14" t="str">
        <f>Raw_Data!B14</f>
        <v>Y</v>
      </c>
      <c r="B14">
        <f>Raw_Data!C14</f>
        <v>36.4</v>
      </c>
      <c r="C14">
        <v>16</v>
      </c>
      <c r="D14">
        <f>Raw_Data!E14</f>
        <v>28.9</v>
      </c>
      <c r="E14">
        <f>Raw_Data!F14</f>
        <v>23.7</v>
      </c>
      <c r="F14">
        <f>Raw_Data!G14</f>
        <v>23.9</v>
      </c>
      <c r="G14">
        <f>Raw_Data!H14</f>
        <v>23</v>
      </c>
      <c r="H14">
        <f>Raw_Data!I14</f>
        <v>22.2</v>
      </c>
    </row>
    <row r="15" spans="1:8" x14ac:dyDescent="0.25">
      <c r="A15" t="str">
        <f>Raw_Data!B15</f>
        <v>N</v>
      </c>
      <c r="B15">
        <f>Raw_Data!C15</f>
        <v>36.4</v>
      </c>
      <c r="C15">
        <v>16</v>
      </c>
      <c r="D15">
        <f>Raw_Data!E15</f>
        <v>29.5</v>
      </c>
      <c r="E15">
        <f>Raw_Data!F15</f>
        <v>24.5</v>
      </c>
      <c r="F15">
        <f>Raw_Data!G15</f>
        <v>24.4</v>
      </c>
      <c r="G15">
        <f>Raw_Data!H15</f>
        <v>23.5</v>
      </c>
      <c r="H15">
        <f>Raw_Data!I15</f>
        <v>22.7</v>
      </c>
    </row>
    <row r="16" spans="1:8" x14ac:dyDescent="0.25">
      <c r="C16" t="s">
        <v>58</v>
      </c>
      <c r="D16">
        <f>AVERAGEIF(A3:A15,"=Y",D3:D15)</f>
        <v>29.78</v>
      </c>
      <c r="E16">
        <f>AVERAGEIF(A3:A15,"=Y",E3:E15)</f>
        <v>26.53</v>
      </c>
      <c r="F16">
        <f>AVERAGEIF(A3:A15,"=Y",F3:F15)</f>
        <v>24.340000000000003</v>
      </c>
      <c r="G16">
        <f>AVERAGEIF(A3:A15,"=Y",G3:G15)</f>
        <v>23.1</v>
      </c>
      <c r="H16">
        <f>AVERAGEIF(A3:A15,"=Y",H3:H15)</f>
        <v>21.94</v>
      </c>
    </row>
    <row r="17" spans="1:8" x14ac:dyDescent="0.25">
      <c r="C17" t="s">
        <v>17</v>
      </c>
      <c r="D17">
        <f>_xlfn.STDEV.S(D4,D6,D8,D12,D14)</f>
        <v>0.6058052492344389</v>
      </c>
      <c r="E17">
        <f>_xlfn.STDEV.S(E4,E6,E8,E12,E14)</f>
        <v>2.2359561713056899</v>
      </c>
      <c r="F17">
        <f>_xlfn.STDEV.S(F4,F6,F8,F12,F14)</f>
        <v>1.2280065146407</v>
      </c>
      <c r="G17">
        <f>_xlfn.STDEV.S(G4,G6,G8,G12,G14)</f>
        <v>0.82158383625774911</v>
      </c>
      <c r="H17">
        <f>_xlfn.STDEV.S(H4,H6,H8,H12,H14)</f>
        <v>0.40373258476372692</v>
      </c>
    </row>
    <row r="18" spans="1:8" x14ac:dyDescent="0.25">
      <c r="C18" t="s">
        <v>59</v>
      </c>
      <c r="D18">
        <f>AVERAGEIF(A3:A15,"=N",D3:D15)</f>
        <v>30.2</v>
      </c>
      <c r="E18">
        <f>AVERAGEIF(A3:A15,"=N",E3:E15)</f>
        <v>26.764999999999997</v>
      </c>
      <c r="F18">
        <f>AVERAGEIF(A3:A15,"=N",F3:F15)</f>
        <v>24.325000000000003</v>
      </c>
      <c r="G18">
        <f>AVERAGEIF(A3:A15,"=N",G3:G15)</f>
        <v>23.0825</v>
      </c>
      <c r="H18">
        <f>AVERAGEIF(A3:A15,"=N",H3:H15)</f>
        <v>21.837499999999999</v>
      </c>
    </row>
    <row r="19" spans="1:8" x14ac:dyDescent="0.25">
      <c r="C19" t="s">
        <v>17</v>
      </c>
      <c r="D19">
        <f>_xlfn.STDEV.S(D3,D5,D7,D9,D10,D11,D13,D15)</f>
        <v>0.44077853201547185</v>
      </c>
      <c r="E19">
        <f>_xlfn.STDEV.S(E3,E5,E7,E9,E10,E11,E13,E15)</f>
        <v>1.8524346913492755</v>
      </c>
      <c r="F19">
        <f>_xlfn.STDEV.S(F3,F5,F7,F9,F10,F11,F13,F15)</f>
        <v>0.87952909478392394</v>
      </c>
      <c r="G19">
        <f>_xlfn.STDEV.S(G3,G5,G7,G9,G10,G11,G13,G15)</f>
        <v>0.58665516763622438</v>
      </c>
      <c r="H19">
        <f>_xlfn.STDEV.S(H3,H5,H7,H9,H10,H11,H13,H15)</f>
        <v>0.50691644845505412</v>
      </c>
    </row>
    <row r="21" spans="1:8" x14ac:dyDescent="0.25">
      <c r="A21" t="str">
        <f>$A$2</f>
        <v>glasses</v>
      </c>
      <c r="B21" t="str">
        <f t="shared" ref="B21:H21" si="0">B2</f>
        <v>BODY TEMP</v>
      </c>
      <c r="C21" t="str">
        <f t="shared" si="0"/>
        <v>AB TEMP</v>
      </c>
      <c r="D21" t="str">
        <f t="shared" si="0"/>
        <v>1M</v>
      </c>
      <c r="E21" t="str">
        <f t="shared" si="0"/>
        <v>2M</v>
      </c>
      <c r="F21" t="str">
        <f t="shared" si="0"/>
        <v>3M</v>
      </c>
      <c r="G21" t="str">
        <f t="shared" si="0"/>
        <v>4M</v>
      </c>
      <c r="H21" t="str">
        <f t="shared" si="0"/>
        <v>5M</v>
      </c>
    </row>
    <row r="22" spans="1:8" x14ac:dyDescent="0.25">
      <c r="A22" t="str">
        <f>Raw_Data!B16</f>
        <v>Y</v>
      </c>
      <c r="B22">
        <f>Raw_Data!C16</f>
        <v>36.700000000000003</v>
      </c>
      <c r="C22">
        <f>Raw_Data!D16</f>
        <v>18</v>
      </c>
      <c r="D22">
        <f>Raw_Data!E16</f>
        <v>29.3</v>
      </c>
      <c r="E22">
        <f>Raw_Data!F16</f>
        <v>25.8</v>
      </c>
      <c r="F22">
        <f>Raw_Data!G16</f>
        <v>24.5</v>
      </c>
      <c r="G22">
        <f>Raw_Data!H16</f>
        <v>23.4</v>
      </c>
      <c r="H22">
        <f>Raw_Data!I16</f>
        <v>22.2</v>
      </c>
    </row>
    <row r="23" spans="1:8" x14ac:dyDescent="0.25">
      <c r="A23" t="str">
        <f>Raw_Data!B17</f>
        <v>N</v>
      </c>
      <c r="B23">
        <f>Raw_Data!C17</f>
        <v>36.700000000000003</v>
      </c>
      <c r="C23">
        <f>Raw_Data!D17</f>
        <v>18</v>
      </c>
      <c r="D23">
        <f>Raw_Data!E17</f>
        <v>30.2</v>
      </c>
      <c r="E23">
        <f>Raw_Data!F17</f>
        <v>26.5</v>
      </c>
      <c r="F23">
        <f>Raw_Data!G17</f>
        <v>24.8</v>
      </c>
      <c r="G23">
        <f>Raw_Data!H17</f>
        <v>23.6</v>
      </c>
      <c r="H23">
        <f>Raw_Data!I17</f>
        <v>22.8</v>
      </c>
    </row>
    <row r="24" spans="1:8" x14ac:dyDescent="0.25">
      <c r="A24" t="str">
        <f>Raw_Data!B18</f>
        <v>Y</v>
      </c>
      <c r="B24">
        <f>Raw_Data!C18</f>
        <v>35.200000000000003</v>
      </c>
      <c r="C24">
        <f>Raw_Data!D18</f>
        <v>18</v>
      </c>
      <c r="D24">
        <f>Raw_Data!E18</f>
        <v>31.2</v>
      </c>
      <c r="E24">
        <f>Raw_Data!F18</f>
        <v>27.5</v>
      </c>
      <c r="F24">
        <f>Raw_Data!G18</f>
        <v>26.2</v>
      </c>
      <c r="G24">
        <f>Raw_Data!H18</f>
        <v>24</v>
      </c>
      <c r="H24">
        <f>Raw_Data!I18</f>
        <v>20.6</v>
      </c>
    </row>
    <row r="25" spans="1:8" x14ac:dyDescent="0.25">
      <c r="A25" t="str">
        <f>Raw_Data!B19</f>
        <v>N</v>
      </c>
      <c r="B25">
        <f>Raw_Data!C19</f>
        <v>35.200000000000003</v>
      </c>
      <c r="C25">
        <f>Raw_Data!D19</f>
        <v>18</v>
      </c>
      <c r="D25">
        <f>Raw_Data!E19</f>
        <v>31.6</v>
      </c>
      <c r="E25">
        <f>Raw_Data!F19</f>
        <v>28</v>
      </c>
      <c r="F25">
        <f>Raw_Data!G19</f>
        <v>26.5</v>
      </c>
      <c r="G25">
        <f>Raw_Data!H19</f>
        <v>24.5</v>
      </c>
      <c r="H25">
        <f>Raw_Data!I19</f>
        <v>20.5</v>
      </c>
    </row>
    <row r="26" spans="1:8" x14ac:dyDescent="0.25">
      <c r="A26" t="str">
        <f>Raw_Data!B20</f>
        <v>Y</v>
      </c>
      <c r="B26">
        <f>Raw_Data!C20</f>
        <v>36.799999999999997</v>
      </c>
      <c r="C26">
        <f>Raw_Data!D20</f>
        <v>18</v>
      </c>
      <c r="D26">
        <f>Raw_Data!E20</f>
        <v>30.5</v>
      </c>
      <c r="E26">
        <f>Raw_Data!F20</f>
        <v>26.7</v>
      </c>
      <c r="F26">
        <f>Raw_Data!G20</f>
        <v>24</v>
      </c>
      <c r="G26">
        <f>Raw_Data!H20</f>
        <v>21</v>
      </c>
      <c r="H26">
        <f>Raw_Data!I20</f>
        <v>20.5</v>
      </c>
    </row>
    <row r="27" spans="1:8" x14ac:dyDescent="0.25">
      <c r="A27" t="str">
        <f>Raw_Data!B21</f>
        <v>N</v>
      </c>
      <c r="B27">
        <f>Raw_Data!C21</f>
        <v>36.799999999999997</v>
      </c>
      <c r="C27">
        <f>Raw_Data!D21</f>
        <v>18</v>
      </c>
      <c r="D27">
        <f>Raw_Data!E21</f>
        <v>30.8</v>
      </c>
      <c r="E27">
        <f>Raw_Data!F21</f>
        <v>27.3</v>
      </c>
      <c r="F27">
        <f>Raw_Data!G21</f>
        <v>24.5</v>
      </c>
      <c r="G27">
        <f>Raw_Data!H21</f>
        <v>21.2</v>
      </c>
      <c r="H27">
        <f>Raw_Data!I21</f>
        <v>21</v>
      </c>
    </row>
    <row r="28" spans="1:8" x14ac:dyDescent="0.25">
      <c r="A28" t="str">
        <f>Raw_Data!B22</f>
        <v>N</v>
      </c>
      <c r="B28">
        <f>Raw_Data!C22</f>
        <v>36.200000000000003</v>
      </c>
      <c r="C28">
        <f>Raw_Data!D22</f>
        <v>18</v>
      </c>
      <c r="D28">
        <f>Raw_Data!E22</f>
        <v>31.1</v>
      </c>
      <c r="E28">
        <f>Raw_Data!F22</f>
        <v>27.5</v>
      </c>
      <c r="F28">
        <f>Raw_Data!G22</f>
        <v>25.1</v>
      </c>
      <c r="G28">
        <f>Raw_Data!H22</f>
        <v>24.2</v>
      </c>
      <c r="H28">
        <f>Raw_Data!I22</f>
        <v>23.6</v>
      </c>
    </row>
    <row r="29" spans="1:8" x14ac:dyDescent="0.25">
      <c r="A29" t="str">
        <f>Raw_Data!B23</f>
        <v>N</v>
      </c>
      <c r="B29">
        <f>Raw_Data!C23</f>
        <v>36.6</v>
      </c>
      <c r="C29">
        <f>Raw_Data!D23</f>
        <v>18</v>
      </c>
      <c r="D29">
        <f>Raw_Data!E23</f>
        <v>29.9</v>
      </c>
      <c r="E29">
        <f>Raw_Data!F23</f>
        <v>26.5</v>
      </c>
      <c r="F29">
        <f>Raw_Data!G23</f>
        <v>24.5</v>
      </c>
      <c r="G29">
        <f>Raw_Data!H23</f>
        <v>23.5</v>
      </c>
      <c r="H29">
        <f>Raw_Data!I23</f>
        <v>22.4</v>
      </c>
    </row>
    <row r="30" spans="1:8" x14ac:dyDescent="0.25">
      <c r="A30" t="str">
        <f>Raw_Data!B24</f>
        <v>Y</v>
      </c>
      <c r="B30">
        <f>Raw_Data!C24</f>
        <v>36.799999999999997</v>
      </c>
      <c r="C30">
        <f>Raw_Data!D24</f>
        <v>18</v>
      </c>
      <c r="D30">
        <f>Raw_Data!E24</f>
        <v>29.8</v>
      </c>
      <c r="E30">
        <f>Raw_Data!F24</f>
        <v>25.3</v>
      </c>
      <c r="F30">
        <f>Raw_Data!G24</f>
        <v>24.4</v>
      </c>
      <c r="G30">
        <f>Raw_Data!H24</f>
        <v>23.8</v>
      </c>
      <c r="H30">
        <f>Raw_Data!I24</f>
        <v>23</v>
      </c>
    </row>
    <row r="31" spans="1:8" x14ac:dyDescent="0.25">
      <c r="A31" t="str">
        <f>Raw_Data!B25</f>
        <v>N</v>
      </c>
      <c r="B31">
        <f>Raw_Data!C25</f>
        <v>36.799999999999997</v>
      </c>
      <c r="C31">
        <f>Raw_Data!D25</f>
        <v>18</v>
      </c>
      <c r="D31">
        <f>Raw_Data!E25</f>
        <v>30.7</v>
      </c>
      <c r="E31">
        <f>Raw_Data!F25</f>
        <v>25.4</v>
      </c>
      <c r="F31">
        <f>Raw_Data!G25</f>
        <v>24.9</v>
      </c>
      <c r="G31">
        <f>Raw_Data!H25</f>
        <v>23.8</v>
      </c>
      <c r="H31">
        <f>Raw_Data!I25</f>
        <v>23.2</v>
      </c>
    </row>
    <row r="32" spans="1:8" x14ac:dyDescent="0.25">
      <c r="A32" t="str">
        <f>Raw_Data!B26</f>
        <v>N</v>
      </c>
      <c r="B32">
        <f>Raw_Data!C26</f>
        <v>36.799999999999997</v>
      </c>
      <c r="C32">
        <f>Raw_Data!D26</f>
        <v>18</v>
      </c>
      <c r="D32">
        <f>Raw_Data!E26</f>
        <v>29.9</v>
      </c>
      <c r="E32">
        <f>Raw_Data!F26</f>
        <v>26.3</v>
      </c>
      <c r="F32">
        <f>Raw_Data!G26</f>
        <v>24.2</v>
      </c>
      <c r="G32">
        <f>Raw_Data!H26</f>
        <v>23.1</v>
      </c>
      <c r="H32">
        <f>Raw_Data!I26</f>
        <v>22.4</v>
      </c>
    </row>
    <row r="33" spans="1:8" x14ac:dyDescent="0.25">
      <c r="C33" t="s">
        <v>58</v>
      </c>
      <c r="D33">
        <f>AVERAGEIF(A22:A32,"=Y",D22:D32)</f>
        <v>30.2</v>
      </c>
      <c r="E33">
        <f>AVERAGEIF(A22:A32,"=Y",E22:E32)</f>
        <v>26.324999999999999</v>
      </c>
      <c r="F33">
        <f>AVERAGEIF(A22:A32,"=Y",F22:F32)</f>
        <v>24.774999999999999</v>
      </c>
      <c r="G33">
        <f>AVERAGEIF(A22:A32,"=Y",G22:G32)</f>
        <v>23.05</v>
      </c>
      <c r="H33">
        <f>AVERAGEIF(A22:A32,"=Y",H22:H32)</f>
        <v>21.574999999999999</v>
      </c>
    </row>
    <row r="34" spans="1:8" x14ac:dyDescent="0.25">
      <c r="C34" t="s">
        <v>17</v>
      </c>
      <c r="D34">
        <f>_xlfn.STDEV.S(D22,D24,D26,D30)</f>
        <v>0.8286535263104029</v>
      </c>
      <c r="E34">
        <f>_xlfn.STDEV.S(E22,E24,E26,E30)</f>
        <v>0.97425184971169843</v>
      </c>
      <c r="F34">
        <f>_xlfn.STDEV.S(F22,F24,F26,F30)</f>
        <v>0.97425184971169865</v>
      </c>
      <c r="G34">
        <f>_xlfn.STDEV.S(G22,G24,G26,G30)</f>
        <v>1.3892443989449805</v>
      </c>
      <c r="H34">
        <f>_xlfn.STDEV.S(H22,H24,H26,H30)</f>
        <v>1.2284814474246917</v>
      </c>
    </row>
    <row r="35" spans="1:8" x14ac:dyDescent="0.25">
      <c r="C35" t="s">
        <v>59</v>
      </c>
      <c r="D35">
        <f>AVERAGEIF(A22:A32,"=N",D22:D32)</f>
        <v>30.599999999999998</v>
      </c>
      <c r="E35">
        <f>AVERAGEIF(A22:A32,"=N",E22:E32)</f>
        <v>26.785714285714288</v>
      </c>
      <c r="F35">
        <f>AVERAGEIF(A22:A32,"=N",F22:F32)</f>
        <v>24.928571428571427</v>
      </c>
      <c r="G35">
        <f>AVERAGEIF(A22:A32,"=N",G22:G32)</f>
        <v>23.414285714285715</v>
      </c>
      <c r="H35">
        <f>AVERAGEIF(A22:A32,"=N",H22:H32)</f>
        <v>22.271428571428572</v>
      </c>
    </row>
    <row r="36" spans="1:8" x14ac:dyDescent="0.25">
      <c r="C36" t="s">
        <v>17</v>
      </c>
      <c r="D36">
        <f>_xlfn.STDEV.S(D23,D25,D27,D28,D29,D31,D32)</f>
        <v>0.63770421565696755</v>
      </c>
      <c r="E36">
        <f>_xlfn.STDEV.S(E23,E25,E27,E28,E29,E31,E32)</f>
        <v>0.87259874594716902</v>
      </c>
      <c r="F36">
        <f>_xlfn.STDEV.S(F23,F25,F27,F28,F29,F31,F32)</f>
        <v>0.75435245015020613</v>
      </c>
      <c r="G36">
        <f>_xlfn.STDEV.S(G23,G25,G27,G28,G29,G31,G32)</f>
        <v>1.0792413561210046</v>
      </c>
      <c r="H36">
        <f>_xlfn.STDEV.S(H23,H25,H27,H28,H29,H31,H32)</f>
        <v>1.1324226032630014</v>
      </c>
    </row>
    <row r="38" spans="1:8" x14ac:dyDescent="0.25">
      <c r="B38" t="str">
        <f t="shared" ref="B38:H38" si="1">B21</f>
        <v>BODY TEMP</v>
      </c>
      <c r="C38" t="str">
        <f t="shared" si="1"/>
        <v>AB TEMP</v>
      </c>
      <c r="D38" t="str">
        <f t="shared" si="1"/>
        <v>1M</v>
      </c>
      <c r="E38" t="str">
        <f t="shared" si="1"/>
        <v>2M</v>
      </c>
      <c r="F38" t="str">
        <f t="shared" si="1"/>
        <v>3M</v>
      </c>
      <c r="G38" t="str">
        <f t="shared" si="1"/>
        <v>4M</v>
      </c>
      <c r="H38" t="str">
        <f t="shared" si="1"/>
        <v>5M</v>
      </c>
    </row>
    <row r="39" spans="1:8" x14ac:dyDescent="0.25">
      <c r="A39" t="str">
        <f>Raw_Data!B27</f>
        <v>N</v>
      </c>
      <c r="B39">
        <f>Raw_Data!C27</f>
        <v>36.6</v>
      </c>
      <c r="C39">
        <f>Raw_Data!D27</f>
        <v>20</v>
      </c>
      <c r="D39">
        <f>Raw_Data!E27</f>
        <v>30.5</v>
      </c>
      <c r="E39">
        <f>Raw_Data!F27</f>
        <v>27.6</v>
      </c>
      <c r="F39">
        <f>Raw_Data!G27</f>
        <v>25.8</v>
      </c>
      <c r="G39">
        <f>Raw_Data!H27</f>
        <v>24.5</v>
      </c>
      <c r="H39">
        <f>Raw_Data!I27</f>
        <v>23.5</v>
      </c>
    </row>
    <row r="40" spans="1:8" x14ac:dyDescent="0.25">
      <c r="A40" t="str">
        <f>Raw_Data!B28</f>
        <v>N</v>
      </c>
      <c r="B40">
        <f>Raw_Data!C28</f>
        <v>36.4</v>
      </c>
      <c r="C40">
        <f>Raw_Data!D28</f>
        <v>20</v>
      </c>
      <c r="D40">
        <f>Raw_Data!E28</f>
        <v>30.6</v>
      </c>
      <c r="E40">
        <f>Raw_Data!F28</f>
        <v>26.4</v>
      </c>
      <c r="F40">
        <f>Raw_Data!G28</f>
        <v>25.5</v>
      </c>
      <c r="G40">
        <f>Raw_Data!H28</f>
        <v>24.6</v>
      </c>
      <c r="H40">
        <f>Raw_Data!I28</f>
        <v>23</v>
      </c>
    </row>
    <row r="41" spans="1:8" x14ac:dyDescent="0.25">
      <c r="A41" t="str">
        <f>Raw_Data!B29</f>
        <v>Y</v>
      </c>
      <c r="B41">
        <f>Raw_Data!C29</f>
        <v>36.9</v>
      </c>
      <c r="C41">
        <f>Raw_Data!D29</f>
        <v>20</v>
      </c>
      <c r="D41">
        <f>Raw_Data!E29</f>
        <v>30.2</v>
      </c>
      <c r="E41">
        <f>Raw_Data!F29</f>
        <v>28</v>
      </c>
      <c r="F41">
        <f>Raw_Data!G29</f>
        <v>25.8</v>
      </c>
      <c r="G41">
        <f>Raw_Data!H29</f>
        <v>24.5</v>
      </c>
      <c r="H41">
        <f>Raw_Data!I29</f>
        <v>22.5</v>
      </c>
    </row>
    <row r="42" spans="1:8" x14ac:dyDescent="0.25">
      <c r="A42" t="str">
        <f>Raw_Data!B30</f>
        <v>N</v>
      </c>
      <c r="B42">
        <f>Raw_Data!C30</f>
        <v>36.9</v>
      </c>
      <c r="C42">
        <f>Raw_Data!D30</f>
        <v>20</v>
      </c>
      <c r="D42">
        <f>Raw_Data!E30</f>
        <v>30.8</v>
      </c>
      <c r="E42">
        <f>Raw_Data!F30</f>
        <v>28.5</v>
      </c>
      <c r="F42">
        <f>Raw_Data!G30</f>
        <v>26</v>
      </c>
      <c r="G42">
        <f>Raw_Data!H30</f>
        <v>25</v>
      </c>
      <c r="H42">
        <f>Raw_Data!I30</f>
        <v>22.8</v>
      </c>
    </row>
    <row r="43" spans="1:8" x14ac:dyDescent="0.25">
      <c r="A43" t="str">
        <f>Raw_Data!B31</f>
        <v>Y</v>
      </c>
      <c r="B43">
        <f>Raw_Data!C31</f>
        <v>36.4</v>
      </c>
      <c r="C43">
        <f>Raw_Data!D31</f>
        <v>20</v>
      </c>
      <c r="D43">
        <f>Raw_Data!E31</f>
        <v>30.5</v>
      </c>
      <c r="E43">
        <f>Raw_Data!F31</f>
        <v>28</v>
      </c>
      <c r="F43">
        <f>Raw_Data!G31</f>
        <v>26.5</v>
      </c>
      <c r="G43">
        <f>Raw_Data!H31</f>
        <v>24.8</v>
      </c>
      <c r="H43">
        <f>Raw_Data!I31</f>
        <v>22</v>
      </c>
    </row>
    <row r="44" spans="1:8" x14ac:dyDescent="0.25">
      <c r="A44" t="str">
        <f>Raw_Data!B32</f>
        <v>N</v>
      </c>
      <c r="B44">
        <f>Raw_Data!C32</f>
        <v>36.4</v>
      </c>
      <c r="C44">
        <f>Raw_Data!D32</f>
        <v>20</v>
      </c>
      <c r="D44">
        <f>Raw_Data!E32</f>
        <v>31</v>
      </c>
      <c r="E44">
        <f>Raw_Data!F32</f>
        <v>28.4</v>
      </c>
      <c r="F44">
        <f>Raw_Data!G32</f>
        <v>26.8</v>
      </c>
      <c r="G44">
        <f>Raw_Data!H32</f>
        <v>25</v>
      </c>
      <c r="H44">
        <f>Raw_Data!I32</f>
        <v>22.5</v>
      </c>
    </row>
    <row r="45" spans="1:8" x14ac:dyDescent="0.25">
      <c r="A45" t="str">
        <f>Raw_Data!B33</f>
        <v>Y</v>
      </c>
      <c r="B45">
        <f>Raw_Data!C33</f>
        <v>36.799999999999997</v>
      </c>
      <c r="C45">
        <f>Raw_Data!D33</f>
        <v>20</v>
      </c>
      <c r="D45">
        <f>Raw_Data!E33</f>
        <v>31.5</v>
      </c>
      <c r="E45">
        <f>Raw_Data!F33</f>
        <v>29</v>
      </c>
      <c r="F45">
        <f>Raw_Data!G33</f>
        <v>27.2</v>
      </c>
      <c r="G45">
        <f>Raw_Data!H33</f>
        <v>25.8</v>
      </c>
      <c r="H45">
        <f>Raw_Data!I33</f>
        <v>23</v>
      </c>
    </row>
    <row r="46" spans="1:8" x14ac:dyDescent="0.25">
      <c r="A46" t="str">
        <f>Raw_Data!B34</f>
        <v>N</v>
      </c>
      <c r="B46">
        <f>Raw_Data!C34</f>
        <v>36.799999999999997</v>
      </c>
      <c r="C46">
        <f>Raw_Data!D34</f>
        <v>20</v>
      </c>
      <c r="D46">
        <f>Raw_Data!E34</f>
        <v>31.7</v>
      </c>
      <c r="E46">
        <f>Raw_Data!F34</f>
        <v>29.2</v>
      </c>
      <c r="F46">
        <f>Raw_Data!G34</f>
        <v>27.5</v>
      </c>
      <c r="G46">
        <f>Raw_Data!H34</f>
        <v>26</v>
      </c>
      <c r="H46">
        <f>Raw_Data!I34</f>
        <v>23.3</v>
      </c>
    </row>
    <row r="47" spans="1:8" x14ac:dyDescent="0.25">
      <c r="C47" t="s">
        <v>58</v>
      </c>
      <c r="D47">
        <f>AVERAGEIF(A39:A46,"=Y",D39:D46)</f>
        <v>30.733333333333334</v>
      </c>
      <c r="E47">
        <f>AVERAGEIF(A39:A46,"=Y",E39:E46)</f>
        <v>28.333333333333332</v>
      </c>
      <c r="F47">
        <f>AVERAGEIF(A39:A46,"=Y",F39:F46)</f>
        <v>26.5</v>
      </c>
      <c r="G47">
        <f>AVERAGEIF(A39:A46,"=Y",G39:G46)</f>
        <v>25.033333333333331</v>
      </c>
      <c r="H47">
        <f>AVERAGEIF(A39:A46,"=Y",H39:H46)</f>
        <v>22.5</v>
      </c>
    </row>
    <row r="48" spans="1:8" x14ac:dyDescent="0.25">
      <c r="C48" t="s">
        <v>17</v>
      </c>
      <c r="D48">
        <f>_xlfn.STDEV.S(D41,D43,D45)</f>
        <v>0.68068592855540488</v>
      </c>
      <c r="E48">
        <f>_xlfn.STDEV.S(E41,E43,E45)</f>
        <v>0.57735026918962584</v>
      </c>
      <c r="F48">
        <f>_xlfn.STDEV.S(F41,F43,F45)</f>
        <v>0.69999999999999929</v>
      </c>
      <c r="G48">
        <f>_xlfn.STDEV.S(G41,G43,G45)</f>
        <v>0.68068592855540488</v>
      </c>
      <c r="H48">
        <f>_xlfn.STDEV.S(H41,H43,H45)</f>
        <v>0.5</v>
      </c>
    </row>
    <row r="49" spans="1:8" x14ac:dyDescent="0.25">
      <c r="C49" t="s">
        <v>59</v>
      </c>
      <c r="D49">
        <f>AVERAGEIF(A39:A46,"=N",D39:D46)</f>
        <v>30.919999999999998</v>
      </c>
      <c r="E49">
        <f>AVERAGEIF(A39:A46,"=N",E39:E46)</f>
        <v>28.02</v>
      </c>
      <c r="F49">
        <f>AVERAGEIF(A39:A46,"=N",F39:F46)</f>
        <v>26.32</v>
      </c>
      <c r="G49">
        <f>AVERAGEIF(A39:A46,"=N",G39:G46)</f>
        <v>25.02</v>
      </c>
      <c r="H49">
        <f>AVERAGEIF(A39:A46,"=N",H39:H46)</f>
        <v>23.02</v>
      </c>
    </row>
    <row r="50" spans="1:8" x14ac:dyDescent="0.25">
      <c r="C50" t="s">
        <v>17</v>
      </c>
      <c r="D50">
        <f>_xlfn.STDEV.S(D39,D40,D42,D44,D46)</f>
        <v>0.47644516998286329</v>
      </c>
      <c r="E50">
        <f>_xlfn.STDEV.S(E39,E40,E42,E44,E46)</f>
        <v>1.0686440005914037</v>
      </c>
      <c r="F50">
        <f>_xlfn.STDEV.S(F39,F40,F42,F44,F46)</f>
        <v>0.81670067956381676</v>
      </c>
      <c r="G50">
        <f>_xlfn.STDEV.S(G39,G40,G42,G44,G46)</f>
        <v>0.59329587896765279</v>
      </c>
      <c r="H50">
        <f>_xlfn.STDEV.S(H39,H40,H42,H44,H46)</f>
        <v>0.396232255123179</v>
      </c>
    </row>
    <row r="52" spans="1:8" x14ac:dyDescent="0.25">
      <c r="B52" t="str">
        <f t="shared" ref="B52:H52" si="2">B21</f>
        <v>BODY TEMP</v>
      </c>
      <c r="C52" t="str">
        <f t="shared" si="2"/>
        <v>AB TEMP</v>
      </c>
      <c r="D52" t="str">
        <f t="shared" si="2"/>
        <v>1M</v>
      </c>
      <c r="E52" t="str">
        <f t="shared" si="2"/>
        <v>2M</v>
      </c>
      <c r="F52" t="str">
        <f t="shared" si="2"/>
        <v>3M</v>
      </c>
      <c r="G52" t="str">
        <f t="shared" si="2"/>
        <v>4M</v>
      </c>
      <c r="H52" t="str">
        <f t="shared" si="2"/>
        <v>5M</v>
      </c>
    </row>
    <row r="53" spans="1:8" x14ac:dyDescent="0.25">
      <c r="A53" t="str">
        <f>Raw_Data!B35</f>
        <v>Y</v>
      </c>
      <c r="B53">
        <f>Raw_Data!C35</f>
        <v>36.700000000000003</v>
      </c>
      <c r="C53">
        <f>Raw_Data!D35</f>
        <v>22</v>
      </c>
      <c r="D53">
        <f>Raw_Data!E35</f>
        <v>30.1</v>
      </c>
      <c r="E53">
        <f>Raw_Data!F35</f>
        <v>27</v>
      </c>
      <c r="F53">
        <f>Raw_Data!G35</f>
        <v>26.4</v>
      </c>
      <c r="G53">
        <f>Raw_Data!H35</f>
        <v>25.1</v>
      </c>
      <c r="H53">
        <f>Raw_Data!I35</f>
        <v>23.5</v>
      </c>
    </row>
    <row r="54" spans="1:8" x14ac:dyDescent="0.25">
      <c r="A54" t="str">
        <f>Raw_Data!B36</f>
        <v>N</v>
      </c>
      <c r="B54">
        <f>Raw_Data!C36</f>
        <v>36.700000000000003</v>
      </c>
      <c r="C54">
        <f>Raw_Data!D36</f>
        <v>22</v>
      </c>
      <c r="D54">
        <f>Raw_Data!E36</f>
        <v>30.9</v>
      </c>
      <c r="E54">
        <f>Raw_Data!F36</f>
        <v>27.2</v>
      </c>
      <c r="F54">
        <f>Raw_Data!G36</f>
        <v>26.8</v>
      </c>
      <c r="G54">
        <f>Raw_Data!H36</f>
        <v>25.5</v>
      </c>
      <c r="H54">
        <f>Raw_Data!I36</f>
        <v>24</v>
      </c>
    </row>
    <row r="55" spans="1:8" x14ac:dyDescent="0.25">
      <c r="A55" t="str">
        <f>Raw_Data!B37</f>
        <v>N</v>
      </c>
      <c r="B55">
        <f>Raw_Data!C37</f>
        <v>36.799999999999997</v>
      </c>
      <c r="C55">
        <f>Raw_Data!D37</f>
        <v>22</v>
      </c>
      <c r="D55">
        <f>Raw_Data!E37</f>
        <v>31.7</v>
      </c>
      <c r="E55">
        <f>Raw_Data!F37</f>
        <v>28.7</v>
      </c>
      <c r="F55">
        <f>Raw_Data!G37</f>
        <v>26.5</v>
      </c>
      <c r="G55">
        <f>Raw_Data!H37</f>
        <v>25.6</v>
      </c>
      <c r="H55">
        <f>Raw_Data!I37</f>
        <v>24</v>
      </c>
    </row>
    <row r="56" spans="1:8" x14ac:dyDescent="0.25">
      <c r="A56" t="str">
        <f>Raw_Data!B38</f>
        <v>N</v>
      </c>
      <c r="B56">
        <f>Raw_Data!C38</f>
        <v>36.6</v>
      </c>
      <c r="C56">
        <f>Raw_Data!D38</f>
        <v>22</v>
      </c>
      <c r="D56">
        <f>Raw_Data!E38</f>
        <v>30.5</v>
      </c>
      <c r="E56">
        <f>Raw_Data!F38</f>
        <v>26.7</v>
      </c>
      <c r="F56">
        <f>Raw_Data!G38</f>
        <v>26</v>
      </c>
      <c r="G56">
        <f>Raw_Data!H38</f>
        <v>25.5</v>
      </c>
      <c r="H56">
        <f>Raw_Data!I38</f>
        <v>24</v>
      </c>
    </row>
    <row r="57" spans="1:8" x14ac:dyDescent="0.25">
      <c r="A57" t="str">
        <f>Raw_Data!B39</f>
        <v>N</v>
      </c>
      <c r="B57">
        <f>Raw_Data!C39</f>
        <v>36.9</v>
      </c>
      <c r="C57">
        <f>Raw_Data!D39</f>
        <v>22</v>
      </c>
      <c r="D57">
        <f>Raw_Data!E39</f>
        <v>31.4</v>
      </c>
      <c r="E57">
        <f>Raw_Data!F39</f>
        <v>28.2</v>
      </c>
      <c r="F57">
        <f>Raw_Data!G39</f>
        <v>26.5</v>
      </c>
      <c r="G57">
        <f>Raw_Data!H39</f>
        <v>26</v>
      </c>
      <c r="H57">
        <f>Raw_Data!I39</f>
        <v>23.3</v>
      </c>
    </row>
    <row r="58" spans="1:8" x14ac:dyDescent="0.25">
      <c r="A58" t="str">
        <f>Raw_Data!B40</f>
        <v>N</v>
      </c>
      <c r="B58">
        <f>Raw_Data!C40</f>
        <v>36.700000000000003</v>
      </c>
      <c r="C58">
        <f>Raw_Data!D40</f>
        <v>22</v>
      </c>
      <c r="D58">
        <f>Raw_Data!E40</f>
        <v>30.7</v>
      </c>
      <c r="E58">
        <f>Raw_Data!F40</f>
        <v>28.1</v>
      </c>
      <c r="F58">
        <f>Raw_Data!G40</f>
        <v>27</v>
      </c>
      <c r="G58">
        <f>Raw_Data!H40</f>
        <v>26.2</v>
      </c>
      <c r="H58">
        <f>Raw_Data!I40</f>
        <v>24</v>
      </c>
    </row>
    <row r="59" spans="1:8" x14ac:dyDescent="0.25">
      <c r="A59" t="str">
        <f>Raw_Data!B41</f>
        <v>Y</v>
      </c>
      <c r="B59">
        <f>Raw_Data!C41</f>
        <v>36.799999999999997</v>
      </c>
      <c r="C59">
        <f>Raw_Data!D41</f>
        <v>22</v>
      </c>
      <c r="D59">
        <f>Raw_Data!E41</f>
        <v>30.08</v>
      </c>
      <c r="E59">
        <f>Raw_Data!F41</f>
        <v>28.5</v>
      </c>
      <c r="F59">
        <f>Raw_Data!G41</f>
        <v>27.2</v>
      </c>
      <c r="G59">
        <f>Raw_Data!H41</f>
        <v>26.6</v>
      </c>
      <c r="H59">
        <f>Raw_Data!I41</f>
        <v>24.2</v>
      </c>
    </row>
    <row r="60" spans="1:8" x14ac:dyDescent="0.25">
      <c r="A60" t="str">
        <f>Raw_Data!B42</f>
        <v>N</v>
      </c>
      <c r="B60">
        <f>Raw_Data!C42</f>
        <v>36.799999999999997</v>
      </c>
      <c r="C60">
        <f>Raw_Data!D42</f>
        <v>22</v>
      </c>
      <c r="D60">
        <f>Raw_Data!E42</f>
        <v>30.99</v>
      </c>
      <c r="E60">
        <f>Raw_Data!F42</f>
        <v>29</v>
      </c>
      <c r="F60">
        <f>Raw_Data!G42</f>
        <v>27.4</v>
      </c>
      <c r="G60">
        <f>Raw_Data!H42</f>
        <v>26.8</v>
      </c>
      <c r="H60">
        <f>Raw_Data!I42</f>
        <v>24.6</v>
      </c>
    </row>
    <row r="61" spans="1:8" x14ac:dyDescent="0.25">
      <c r="A61" t="str">
        <f>Raw_Data!B43</f>
        <v>Y</v>
      </c>
      <c r="B61">
        <f>Raw_Data!C43</f>
        <v>36.9</v>
      </c>
      <c r="C61">
        <f>Raw_Data!D43</f>
        <v>22</v>
      </c>
      <c r="D61">
        <f>Raw_Data!E43</f>
        <v>31.2</v>
      </c>
      <c r="E61">
        <f>Raw_Data!F43</f>
        <v>29.2</v>
      </c>
      <c r="F61">
        <f>Raw_Data!G43</f>
        <v>28.5</v>
      </c>
      <c r="G61">
        <f>Raw_Data!H43</f>
        <v>27.2</v>
      </c>
      <c r="H61">
        <f>Raw_Data!I43</f>
        <v>25.6</v>
      </c>
    </row>
    <row r="62" spans="1:8" x14ac:dyDescent="0.25">
      <c r="A62" t="str">
        <f>Raw_Data!B44</f>
        <v>N</v>
      </c>
      <c r="B62">
        <f>Raw_Data!C44</f>
        <v>36.9</v>
      </c>
      <c r="C62">
        <f>Raw_Data!D44</f>
        <v>22</v>
      </c>
      <c r="D62">
        <f>Raw_Data!E44</f>
        <v>31.5</v>
      </c>
      <c r="E62">
        <f>Raw_Data!F44</f>
        <v>29.4</v>
      </c>
      <c r="F62">
        <f>Raw_Data!G44</f>
        <v>28.8</v>
      </c>
      <c r="G62">
        <f>Raw_Data!H44</f>
        <v>27.5</v>
      </c>
      <c r="H62">
        <f>Raw_Data!I44</f>
        <v>26</v>
      </c>
    </row>
    <row r="63" spans="1:8" x14ac:dyDescent="0.25">
      <c r="C63" t="s">
        <v>58</v>
      </c>
      <c r="D63">
        <f>AVERAGEIF(A53:A62,"=Y",D53:D62)</f>
        <v>30.459999999999997</v>
      </c>
      <c r="E63">
        <f>AVERAGEIF(A53:A62,"=Y",E53:E62)</f>
        <v>28.233333333333334</v>
      </c>
      <c r="F63">
        <f>AVERAGEIF(A53:A62,"=Y",F53:F62)</f>
        <v>27.366666666666664</v>
      </c>
      <c r="G63">
        <f>AVERAGEIF(A53:A62,"=Y",G53:G62)</f>
        <v>26.3</v>
      </c>
      <c r="H63">
        <f>AVERAGEIF(A53:A62,"=Y",H53:H62)</f>
        <v>24.433333333333337</v>
      </c>
    </row>
    <row r="64" spans="1:8" x14ac:dyDescent="0.25">
      <c r="C64" t="s">
        <v>17</v>
      </c>
      <c r="D64">
        <f>_xlfn.STDEV.S(D53,D59,D61)</f>
        <v>0.64093681435848227</v>
      </c>
      <c r="E64">
        <f>_xlfn.STDEV.S(E53,E59,E61)</f>
        <v>1.123981020005824</v>
      </c>
      <c r="F64">
        <f>_xlfn.STDEV.S(F53,F59,F61)</f>
        <v>1.0598742063723103</v>
      </c>
      <c r="G64">
        <f>_xlfn.STDEV.S(G53,G59,G61)</f>
        <v>1.081665382639196</v>
      </c>
      <c r="H64">
        <f>_xlfn.STDEV.S(H53,H59,H61)</f>
        <v>1.0692676621563635</v>
      </c>
    </row>
    <row r="65" spans="1:8" x14ac:dyDescent="0.25">
      <c r="C65" t="s">
        <v>59</v>
      </c>
      <c r="D65">
        <f>AVERAGEIF(A53:A62,"=N",D53:D62)</f>
        <v>31.098571428571429</v>
      </c>
      <c r="E65">
        <f>AVERAGEIF(A53:A62,"=N",E53:E62)</f>
        <v>28.185714285714287</v>
      </c>
      <c r="F65">
        <f>AVERAGEIF(A53:A62,"=N",F53:F62)</f>
        <v>27.000000000000004</v>
      </c>
      <c r="G65">
        <f>AVERAGEIF(A53:A62,"=N",G53:G62)</f>
        <v>26.157142857142855</v>
      </c>
      <c r="H65">
        <f>AVERAGEIF(A53:A62,"=N",H53:H62)</f>
        <v>24.271428571428572</v>
      </c>
    </row>
    <row r="66" spans="1:8" x14ac:dyDescent="0.25">
      <c r="C66" t="s">
        <v>17</v>
      </c>
      <c r="D66">
        <f>_xlfn.STDEV.S(D54,D55,D56,D57,D58,D60)</f>
        <v>0.44588862585478278</v>
      </c>
      <c r="E66">
        <f>_xlfn.STDEV.S(E54,E55,E56,E57,E58,E60)</f>
        <v>0.8795832346439233</v>
      </c>
      <c r="F66">
        <f>_xlfn.STDEV.S(F54,F55,F56,F57,F58,F60)</f>
        <v>0.48166378315169145</v>
      </c>
      <c r="G66">
        <f>_xlfn.STDEV.S(G54,G55,G56,G57,G58,G60)</f>
        <v>0.51251016250086856</v>
      </c>
      <c r="H66">
        <f>_xlfn.STDEV.S(H54,H55,H56,H57,H58,H60)</f>
        <v>0.41190613817551547</v>
      </c>
    </row>
    <row r="68" spans="1:8" x14ac:dyDescent="0.25">
      <c r="B68" t="str">
        <f t="shared" ref="B68:H68" si="3">B52</f>
        <v>BODY TEMP</v>
      </c>
      <c r="C68" t="str">
        <f t="shared" si="3"/>
        <v>AB TEMP</v>
      </c>
      <c r="D68" t="str">
        <f t="shared" si="3"/>
        <v>1M</v>
      </c>
      <c r="E68" t="str">
        <f t="shared" si="3"/>
        <v>2M</v>
      </c>
      <c r="F68" t="str">
        <f t="shared" si="3"/>
        <v>3M</v>
      </c>
      <c r="G68" t="str">
        <f t="shared" si="3"/>
        <v>4M</v>
      </c>
      <c r="H68" t="str">
        <f t="shared" si="3"/>
        <v>5M</v>
      </c>
    </row>
    <row r="69" spans="1:8" x14ac:dyDescent="0.25">
      <c r="A69" t="str">
        <f>Raw_Data!B45</f>
        <v>Y</v>
      </c>
      <c r="B69">
        <f>Raw_Data!C45</f>
        <v>36.9</v>
      </c>
      <c r="C69">
        <f>Raw_Data!D45</f>
        <v>24</v>
      </c>
      <c r="D69">
        <f>Raw_Data!E45</f>
        <v>31.8</v>
      </c>
      <c r="E69">
        <f>Raw_Data!F45</f>
        <v>30.2</v>
      </c>
      <c r="F69">
        <f>Raw_Data!G45</f>
        <v>27.8</v>
      </c>
      <c r="G69">
        <f>Raw_Data!H45</f>
        <v>27.2</v>
      </c>
      <c r="H69">
        <f>Raw_Data!I45</f>
        <v>25.5</v>
      </c>
    </row>
    <row r="70" spans="1:8" x14ac:dyDescent="0.25">
      <c r="A70" t="str">
        <f>Raw_Data!B46</f>
        <v>N</v>
      </c>
      <c r="B70">
        <f>Raw_Data!C46</f>
        <v>36.9</v>
      </c>
      <c r="C70">
        <f>Raw_Data!D46</f>
        <v>24</v>
      </c>
      <c r="D70">
        <f>Raw_Data!E46</f>
        <v>32</v>
      </c>
      <c r="E70">
        <f>Raw_Data!F46</f>
        <v>30.5</v>
      </c>
      <c r="F70">
        <f>Raw_Data!G46</f>
        <v>27.9</v>
      </c>
      <c r="G70">
        <f>Raw_Data!H46</f>
        <v>27.6</v>
      </c>
      <c r="H70">
        <f>Raw_Data!I46</f>
        <v>26</v>
      </c>
    </row>
    <row r="71" spans="1:8" x14ac:dyDescent="0.25">
      <c r="A71" t="str">
        <f>Raw_Data!B47</f>
        <v>N</v>
      </c>
      <c r="B71">
        <f>Raw_Data!C47</f>
        <v>36.700000000000003</v>
      </c>
      <c r="C71">
        <f>Raw_Data!D47</f>
        <v>24</v>
      </c>
      <c r="D71">
        <f>Raw_Data!E47</f>
        <v>34.4</v>
      </c>
      <c r="E71">
        <f>Raw_Data!F47</f>
        <v>32</v>
      </c>
      <c r="F71">
        <f>Raw_Data!G47</f>
        <v>28.7</v>
      </c>
      <c r="G71">
        <f>Raw_Data!H47</f>
        <v>27.4</v>
      </c>
      <c r="H71">
        <f>Raw_Data!I47</f>
        <v>27</v>
      </c>
    </row>
    <row r="72" spans="1:8" x14ac:dyDescent="0.25">
      <c r="A72" t="str">
        <f>Raw_Data!B48</f>
        <v>Y</v>
      </c>
      <c r="B72">
        <f>Raw_Data!C48</f>
        <v>36.5</v>
      </c>
      <c r="C72">
        <f>Raw_Data!D48</f>
        <v>24</v>
      </c>
      <c r="D72">
        <f>Raw_Data!E48</f>
        <v>32.5</v>
      </c>
      <c r="E72">
        <f>Raw_Data!F48</f>
        <v>31.8</v>
      </c>
      <c r="F72">
        <f>Raw_Data!G48</f>
        <v>28</v>
      </c>
      <c r="G72">
        <f>Raw_Data!H48</f>
        <v>26.5</v>
      </c>
      <c r="H72">
        <f>Raw_Data!I48</f>
        <v>26</v>
      </c>
    </row>
    <row r="73" spans="1:8" x14ac:dyDescent="0.25">
      <c r="A73" t="str">
        <f>Raw_Data!B49</f>
        <v>N</v>
      </c>
      <c r="B73">
        <f>Raw_Data!C49</f>
        <v>36.5</v>
      </c>
      <c r="C73">
        <f>Raw_Data!D49</f>
        <v>24</v>
      </c>
      <c r="D73">
        <f>Raw_Data!E49</f>
        <v>32.799999999999997</v>
      </c>
      <c r="E73">
        <f>Raw_Data!F49</f>
        <v>32</v>
      </c>
      <c r="F73">
        <f>Raw_Data!G49</f>
        <v>28.2</v>
      </c>
      <c r="G73">
        <f>Raw_Data!H49</f>
        <v>26.8</v>
      </c>
      <c r="H73">
        <f>Raw_Data!I49</f>
        <v>26.2</v>
      </c>
    </row>
    <row r="74" spans="1:8" x14ac:dyDescent="0.25">
      <c r="A74" t="str">
        <f>Raw_Data!B50</f>
        <v>Y</v>
      </c>
      <c r="B74">
        <f>Raw_Data!C50</f>
        <v>36.9</v>
      </c>
      <c r="C74">
        <f>Raw_Data!D50</f>
        <v>24</v>
      </c>
      <c r="D74">
        <f>Raw_Data!E50</f>
        <v>32.200000000000003</v>
      </c>
      <c r="E74">
        <f>Raw_Data!F50</f>
        <v>30.5</v>
      </c>
      <c r="F74">
        <f>Raw_Data!G50</f>
        <v>29.3</v>
      </c>
      <c r="G74">
        <f>Raw_Data!H50</f>
        <v>28.5</v>
      </c>
      <c r="H74">
        <f>Raw_Data!I50</f>
        <v>27.1</v>
      </c>
    </row>
    <row r="75" spans="1:8" x14ac:dyDescent="0.25">
      <c r="A75" t="str">
        <f>Raw_Data!B51</f>
        <v>N</v>
      </c>
      <c r="B75">
        <f>Raw_Data!C51</f>
        <v>36.9</v>
      </c>
      <c r="C75">
        <f>Raw_Data!D51</f>
        <v>24</v>
      </c>
      <c r="D75">
        <f>Raw_Data!E51</f>
        <v>32.799999999999997</v>
      </c>
      <c r="E75">
        <f>Raw_Data!F51</f>
        <v>30.7</v>
      </c>
      <c r="F75">
        <f>Raw_Data!G51</f>
        <v>29.5</v>
      </c>
      <c r="G75">
        <f>Raw_Data!H51</f>
        <v>28.8</v>
      </c>
      <c r="H75">
        <f>Raw_Data!I51</f>
        <v>27.4</v>
      </c>
    </row>
    <row r="76" spans="1:8" x14ac:dyDescent="0.25">
      <c r="A76" t="str">
        <f>Raw_Data!B52</f>
        <v>Y</v>
      </c>
      <c r="B76">
        <f>Raw_Data!C52</f>
        <v>36.9</v>
      </c>
      <c r="C76">
        <f>Raw_Data!D52</f>
        <v>24</v>
      </c>
      <c r="D76">
        <f>Raw_Data!E52</f>
        <v>32.700000000000003</v>
      </c>
      <c r="E76">
        <f>Raw_Data!F52</f>
        <v>31.5</v>
      </c>
      <c r="F76">
        <f>Raw_Data!G52</f>
        <v>30.2</v>
      </c>
      <c r="G76">
        <f>Raw_Data!H52</f>
        <v>28.5</v>
      </c>
      <c r="H76">
        <f>Raw_Data!I52</f>
        <v>27.8</v>
      </c>
    </row>
    <row r="77" spans="1:8" x14ac:dyDescent="0.25">
      <c r="A77" t="str">
        <f>Raw_Data!B53</f>
        <v>N</v>
      </c>
      <c r="B77">
        <f>Raw_Data!C53</f>
        <v>36.9</v>
      </c>
      <c r="C77">
        <f>Raw_Data!D53</f>
        <v>24</v>
      </c>
      <c r="D77">
        <f>Raw_Data!E53</f>
        <v>32.799999999999997</v>
      </c>
      <c r="E77">
        <f>Raw_Data!F53</f>
        <v>31.8</v>
      </c>
      <c r="F77">
        <f>Raw_Data!G53</f>
        <v>30.5</v>
      </c>
      <c r="G77">
        <f>Raw_Data!H53</f>
        <v>28.8</v>
      </c>
      <c r="H77">
        <f>Raw_Data!I53</f>
        <v>28</v>
      </c>
    </row>
    <row r="78" spans="1:8" x14ac:dyDescent="0.25">
      <c r="A78" t="str">
        <f>Raw_Data!B54</f>
        <v>N</v>
      </c>
      <c r="B78">
        <f>Raw_Data!C54</f>
        <v>36.6</v>
      </c>
      <c r="C78">
        <f>Raw_Data!D54</f>
        <v>24</v>
      </c>
      <c r="D78">
        <f>Raw_Data!E54</f>
        <v>32.5</v>
      </c>
      <c r="E78">
        <f>Raw_Data!F54</f>
        <v>31</v>
      </c>
      <c r="F78">
        <f>Raw_Data!G54</f>
        <v>30.2</v>
      </c>
      <c r="G78">
        <f>Raw_Data!H54</f>
        <v>27.8</v>
      </c>
      <c r="H78">
        <f>Raw_Data!I54</f>
        <v>27</v>
      </c>
    </row>
    <row r="79" spans="1:8" x14ac:dyDescent="0.25">
      <c r="A79" t="str">
        <f>Raw_Data!B55</f>
        <v>Y</v>
      </c>
      <c r="B79">
        <f>Raw_Data!C55</f>
        <v>36.799999999999997</v>
      </c>
      <c r="C79">
        <f>Raw_Data!D55</f>
        <v>24</v>
      </c>
      <c r="D79">
        <f>Raw_Data!E55</f>
        <v>31.3</v>
      </c>
      <c r="E79">
        <f>Raw_Data!F55</f>
        <v>30.1</v>
      </c>
      <c r="F79">
        <f>Raw_Data!G55</f>
        <v>29.5</v>
      </c>
      <c r="G79">
        <f>Raw_Data!H55</f>
        <v>27.5</v>
      </c>
      <c r="H79">
        <f>Raw_Data!I55</f>
        <v>26.9</v>
      </c>
    </row>
    <row r="80" spans="1:8" x14ac:dyDescent="0.25">
      <c r="A80" t="str">
        <f>Raw_Data!B56</f>
        <v>N</v>
      </c>
      <c r="B80">
        <f>Raw_Data!C56</f>
        <v>36.799999999999997</v>
      </c>
      <c r="C80">
        <f>Raw_Data!D56</f>
        <v>24</v>
      </c>
      <c r="D80">
        <f>Raw_Data!E56</f>
        <v>32.200000000000003</v>
      </c>
      <c r="E80">
        <f>Raw_Data!F56</f>
        <v>30.4</v>
      </c>
      <c r="F80">
        <f>Raw_Data!G56</f>
        <v>29.8</v>
      </c>
      <c r="G80">
        <f>Raw_Data!H56</f>
        <v>27.6</v>
      </c>
      <c r="H80">
        <f>Raw_Data!I56</f>
        <v>27</v>
      </c>
    </row>
    <row r="81" spans="1:8" x14ac:dyDescent="0.25">
      <c r="A81" t="str">
        <f>Raw_Data!B57</f>
        <v>N</v>
      </c>
      <c r="B81">
        <f>Raw_Data!C57</f>
        <v>36.9</v>
      </c>
      <c r="C81">
        <f>Raw_Data!D57</f>
        <v>24</v>
      </c>
      <c r="D81">
        <f>Raw_Data!E57</f>
        <v>32.5</v>
      </c>
      <c r="E81">
        <f>Raw_Data!F57</f>
        <v>30.2</v>
      </c>
      <c r="F81">
        <f>Raw_Data!G57</f>
        <v>28.9</v>
      </c>
      <c r="G81">
        <f>Raw_Data!H57</f>
        <v>27.5</v>
      </c>
      <c r="H81">
        <f>Raw_Data!I57</f>
        <v>26.9</v>
      </c>
    </row>
    <row r="82" spans="1:8" x14ac:dyDescent="0.25">
      <c r="C82" t="s">
        <v>58</v>
      </c>
      <c r="D82">
        <f>AVERAGEIF(A69:A81,"=Y",D69:D81)</f>
        <v>32.1</v>
      </c>
      <c r="E82">
        <f>AVERAGEIF(A69:A81,"=Y",E69:E81)</f>
        <v>30.82</v>
      </c>
      <c r="F82">
        <f>AVERAGEIF(A69:A81,"=Y",F69:F81)</f>
        <v>28.96</v>
      </c>
      <c r="G82">
        <f>AVERAGEIF(A69:A81,"=Y",G69:G81)</f>
        <v>27.639999999999997</v>
      </c>
      <c r="H82">
        <f>AVERAGEIF(A69:A81,"=Y",H69:H81)</f>
        <v>26.659999999999997</v>
      </c>
    </row>
    <row r="83" spans="1:8" x14ac:dyDescent="0.25">
      <c r="C83" t="s">
        <v>17</v>
      </c>
      <c r="D83">
        <f>_xlfn.STDEV.S(D69,D72,D74,D76,D79)</f>
        <v>0.56124860801609178</v>
      </c>
      <c r="E83">
        <f>_xlfn.STDEV.S(E69,E72,E74,E76,E79)</f>
        <v>0.77910204723129828</v>
      </c>
      <c r="F83">
        <f>_xlfn.STDEV.S(F69,F72,F74,F76,F79)</f>
        <v>1.0261578825892239</v>
      </c>
      <c r="G83">
        <f>_xlfn.STDEV.S(G69,G72,G74,G76,G79)</f>
        <v>0.86486993241758625</v>
      </c>
      <c r="H83">
        <f>_xlfn.STDEV.S(H69,H72,H74,H76,H79)</f>
        <v>0.91268833672837113</v>
      </c>
    </row>
    <row r="84" spans="1:8" x14ac:dyDescent="0.25">
      <c r="C84" t="s">
        <v>59</v>
      </c>
      <c r="D84">
        <f>AVERAGEIF(A69:A81,"=N",D69:D81)</f>
        <v>32.75</v>
      </c>
      <c r="E84">
        <f>AVERAGEIF(A69:A81,"=N",E69:E81)</f>
        <v>31.074999999999999</v>
      </c>
      <c r="F84">
        <f>AVERAGEIF(A69:A81,"=N",F69:F81)</f>
        <v>29.212500000000002</v>
      </c>
      <c r="G84">
        <f>AVERAGEIF(A69:A81,"=N",G69:G81)</f>
        <v>27.787500000000001</v>
      </c>
      <c r="H84">
        <f>AVERAGEIF(A69:A81,"=N",H69:H81)</f>
        <v>26.9375</v>
      </c>
    </row>
    <row r="85" spans="1:8" x14ac:dyDescent="0.25">
      <c r="C85" t="s">
        <v>17</v>
      </c>
      <c r="D85">
        <f>_xlfn.STDEV.S(D70,D71,D73,D75,D77,D78,D80,D81)</f>
        <v>0.72899147555274624</v>
      </c>
      <c r="E85">
        <f>_xlfn.STDEV.S(E70,E71,E73,E75,E77,E78,E80,E81)</f>
        <v>0.74976186695700775</v>
      </c>
      <c r="F85">
        <f>_xlfn.STDEV.S(F70,F71,F73,F75,F77,F78,F80,F81)</f>
        <v>0.93874916777592987</v>
      </c>
      <c r="G85">
        <f>_xlfn.STDEV.S(G70,G71,G73,G75,G77,G78,G80,G81)</f>
        <v>0.68959097607619146</v>
      </c>
      <c r="H85">
        <f>_xlfn.STDEV.S(H70,H71,H73,H75,H77,H78,H80,H81)</f>
        <v>0.63005101834239241</v>
      </c>
    </row>
    <row r="87" spans="1:8" x14ac:dyDescent="0.25">
      <c r="B87" t="str">
        <f t="shared" ref="B87:H87" si="4">B68</f>
        <v>BODY TEMP</v>
      </c>
      <c r="C87" t="str">
        <f t="shared" si="4"/>
        <v>AB TEMP</v>
      </c>
      <c r="D87" t="str">
        <f t="shared" si="4"/>
        <v>1M</v>
      </c>
      <c r="E87" t="str">
        <f t="shared" si="4"/>
        <v>2M</v>
      </c>
      <c r="F87" t="str">
        <f t="shared" si="4"/>
        <v>3M</v>
      </c>
      <c r="G87" t="str">
        <f t="shared" si="4"/>
        <v>4M</v>
      </c>
      <c r="H87" t="str">
        <f t="shared" si="4"/>
        <v>5M</v>
      </c>
    </row>
    <row r="88" spans="1:8" x14ac:dyDescent="0.25">
      <c r="A88" t="str">
        <f>Raw_Data!B58</f>
        <v>N</v>
      </c>
      <c r="B88">
        <f>Raw_Data!C58</f>
        <v>36.700000000000003</v>
      </c>
      <c r="C88">
        <f>Raw_Data!D58</f>
        <v>25</v>
      </c>
      <c r="D88">
        <f>Raw_Data!E58</f>
        <v>32.1</v>
      </c>
      <c r="E88">
        <f>Raw_Data!F58</f>
        <v>29.8</v>
      </c>
      <c r="F88">
        <f>Raw_Data!G58</f>
        <v>28.4</v>
      </c>
      <c r="G88">
        <f>Raw_Data!H58</f>
        <v>27.5</v>
      </c>
      <c r="H88">
        <f>Raw_Data!I58</f>
        <v>26</v>
      </c>
    </row>
    <row r="89" spans="1:8" x14ac:dyDescent="0.25">
      <c r="A89" t="str">
        <f>Raw_Data!B59</f>
        <v>Y</v>
      </c>
      <c r="B89">
        <f>Raw_Data!C59</f>
        <v>36.799999999999997</v>
      </c>
      <c r="C89">
        <f>Raw_Data!D59</f>
        <v>25</v>
      </c>
      <c r="D89">
        <f>Raw_Data!E59</f>
        <v>32.1</v>
      </c>
      <c r="E89">
        <f>Raw_Data!F59</f>
        <v>29.4</v>
      </c>
      <c r="F89">
        <f>Raw_Data!G59</f>
        <v>28.5</v>
      </c>
      <c r="G89">
        <f>Raw_Data!H59</f>
        <v>27.8</v>
      </c>
      <c r="H89">
        <f>Raw_Data!I59</f>
        <v>27</v>
      </c>
    </row>
    <row r="90" spans="1:8" x14ac:dyDescent="0.25">
      <c r="A90" t="str">
        <f>Raw_Data!B60</f>
        <v>N</v>
      </c>
      <c r="B90">
        <f>Raw_Data!C60</f>
        <v>36.799999999999997</v>
      </c>
      <c r="C90">
        <f>Raw_Data!D60</f>
        <v>25</v>
      </c>
      <c r="D90">
        <f>Raw_Data!E60</f>
        <v>32.5</v>
      </c>
      <c r="E90">
        <f>Raw_Data!F60</f>
        <v>30.1</v>
      </c>
      <c r="F90">
        <f>Raw_Data!G60</f>
        <v>28.8</v>
      </c>
      <c r="G90">
        <f>Raw_Data!H60</f>
        <v>27.9</v>
      </c>
      <c r="H90">
        <f>Raw_Data!I60</f>
        <v>27.2</v>
      </c>
    </row>
    <row r="91" spans="1:8" x14ac:dyDescent="0.25">
      <c r="A91" t="str">
        <f>Raw_Data!B61</f>
        <v>Y</v>
      </c>
      <c r="B91">
        <f>Raw_Data!C61</f>
        <v>36.9</v>
      </c>
      <c r="C91">
        <f>Raw_Data!D61</f>
        <v>25</v>
      </c>
      <c r="D91">
        <f>Raw_Data!E61</f>
        <v>31.5</v>
      </c>
      <c r="E91">
        <f>Raw_Data!F61</f>
        <v>30.1</v>
      </c>
      <c r="F91">
        <f>Raw_Data!G61</f>
        <v>30.1</v>
      </c>
      <c r="G91">
        <f>Raw_Data!H61</f>
        <v>28.9</v>
      </c>
      <c r="H91">
        <f>Raw_Data!I61</f>
        <v>28.2</v>
      </c>
    </row>
    <row r="92" spans="1:8" x14ac:dyDescent="0.25">
      <c r="A92" t="str">
        <f>Raw_Data!B62</f>
        <v>N</v>
      </c>
      <c r="B92">
        <f>Raw_Data!C62</f>
        <v>36.9</v>
      </c>
      <c r="C92">
        <f>Raw_Data!D62</f>
        <v>25</v>
      </c>
      <c r="D92">
        <f>Raw_Data!E62</f>
        <v>32</v>
      </c>
      <c r="E92">
        <f>Raw_Data!F62</f>
        <v>30.6</v>
      </c>
      <c r="F92">
        <f>Raw_Data!G62</f>
        <v>30.4</v>
      </c>
      <c r="G92">
        <f>Raw_Data!H62</f>
        <v>29</v>
      </c>
      <c r="H92">
        <f>Raw_Data!I62</f>
        <v>28.3</v>
      </c>
    </row>
    <row r="93" spans="1:8" x14ac:dyDescent="0.25">
      <c r="A93" t="str">
        <f>Raw_Data!B63</f>
        <v>N</v>
      </c>
      <c r="B93">
        <f>Raw_Data!C63</f>
        <v>36.9</v>
      </c>
      <c r="C93">
        <f>Raw_Data!D63</f>
        <v>25</v>
      </c>
      <c r="D93">
        <f>Raw_Data!E63</f>
        <v>32.299999999999997</v>
      </c>
      <c r="E93">
        <f>Raw_Data!F63</f>
        <v>31.2</v>
      </c>
      <c r="F93">
        <f>Raw_Data!G63</f>
        <v>30.3</v>
      </c>
      <c r="G93">
        <f>Raw_Data!H63</f>
        <v>29.5</v>
      </c>
      <c r="H93">
        <f>Raw_Data!I63</f>
        <v>28.1</v>
      </c>
    </row>
    <row r="94" spans="1:8" x14ac:dyDescent="0.25">
      <c r="A94" t="str">
        <f>Raw_Data!B64</f>
        <v>Y</v>
      </c>
      <c r="B94">
        <f>Raw_Data!C64</f>
        <v>36.6</v>
      </c>
      <c r="C94">
        <f>Raw_Data!D64</f>
        <v>25</v>
      </c>
      <c r="D94">
        <f>Raw_Data!E64</f>
        <v>31.8</v>
      </c>
      <c r="E94">
        <f>Raw_Data!F64</f>
        <v>30.5</v>
      </c>
      <c r="F94">
        <f>Raw_Data!G64</f>
        <v>29.5</v>
      </c>
      <c r="G94">
        <f>Raw_Data!H64</f>
        <v>28.8</v>
      </c>
      <c r="H94">
        <f>Raw_Data!I64</f>
        <v>27.8</v>
      </c>
    </row>
    <row r="95" spans="1:8" x14ac:dyDescent="0.25">
      <c r="A95" t="str">
        <f>Raw_Data!B65</f>
        <v>N</v>
      </c>
      <c r="B95">
        <f>Raw_Data!C65</f>
        <v>36.6</v>
      </c>
      <c r="C95">
        <f>Raw_Data!D65</f>
        <v>25</v>
      </c>
      <c r="D95">
        <f>Raw_Data!E65</f>
        <v>32.200000000000003</v>
      </c>
      <c r="E95">
        <f>Raw_Data!F65</f>
        <v>30.6</v>
      </c>
      <c r="F95">
        <f>Raw_Data!G65</f>
        <v>29.5</v>
      </c>
      <c r="G95">
        <f>Raw_Data!H65</f>
        <v>29</v>
      </c>
      <c r="H95">
        <f>Raw_Data!I65</f>
        <v>28.1</v>
      </c>
    </row>
    <row r="96" spans="1:8" x14ac:dyDescent="0.25">
      <c r="A96" t="str">
        <f>Raw_Data!B66</f>
        <v>N</v>
      </c>
      <c r="B96">
        <f>Raw_Data!C66</f>
        <v>36.700000000000003</v>
      </c>
      <c r="C96">
        <f>Raw_Data!D66</f>
        <v>25</v>
      </c>
      <c r="D96">
        <f>Raw_Data!E66</f>
        <v>32.700000000000003</v>
      </c>
      <c r="E96">
        <f>Raw_Data!F66</f>
        <v>30.5</v>
      </c>
      <c r="F96">
        <f>Raw_Data!G66</f>
        <v>29.5</v>
      </c>
      <c r="G96">
        <f>Raw_Data!H66</f>
        <v>29</v>
      </c>
      <c r="H96">
        <f>Raw_Data!I66</f>
        <v>28.1</v>
      </c>
    </row>
    <row r="97" spans="1:8" x14ac:dyDescent="0.25">
      <c r="A97" t="str">
        <f>Raw_Data!B67</f>
        <v>N</v>
      </c>
      <c r="B97">
        <f>Raw_Data!C67</f>
        <v>36.9</v>
      </c>
      <c r="C97">
        <f>Raw_Data!D67</f>
        <v>25</v>
      </c>
      <c r="D97">
        <f>Raw_Data!E67</f>
        <v>32.799999999999997</v>
      </c>
      <c r="E97">
        <f>Raw_Data!F67</f>
        <v>31.2</v>
      </c>
      <c r="F97">
        <f>Raw_Data!G67</f>
        <v>29.6</v>
      </c>
      <c r="G97">
        <f>Raw_Data!H67</f>
        <v>28.7</v>
      </c>
      <c r="H97">
        <f>Raw_Data!I67</f>
        <v>27.7</v>
      </c>
    </row>
    <row r="98" spans="1:8" x14ac:dyDescent="0.25">
      <c r="A98" t="str">
        <f>Raw_Data!B68</f>
        <v>N</v>
      </c>
      <c r="B98">
        <f>Raw_Data!C68</f>
        <v>36.799999999999997</v>
      </c>
      <c r="C98">
        <f>Raw_Data!D68</f>
        <v>25</v>
      </c>
      <c r="D98">
        <f>Raw_Data!E68</f>
        <v>32.200000000000003</v>
      </c>
      <c r="E98">
        <f>Raw_Data!F68</f>
        <v>31</v>
      </c>
      <c r="F98">
        <f>Raw_Data!G68</f>
        <v>30.1</v>
      </c>
      <c r="G98">
        <f>Raw_Data!H68</f>
        <v>28.5</v>
      </c>
      <c r="H98">
        <f>Raw_Data!I68</f>
        <v>27.2</v>
      </c>
    </row>
    <row r="99" spans="1:8" x14ac:dyDescent="0.25">
      <c r="A99" t="str">
        <f>Raw_Data!B69</f>
        <v>Y</v>
      </c>
      <c r="B99">
        <f>Raw_Data!C69</f>
        <v>36.6</v>
      </c>
      <c r="C99">
        <f>Raw_Data!D69</f>
        <v>25</v>
      </c>
      <c r="D99">
        <f>Raw_Data!E69</f>
        <v>31.7</v>
      </c>
      <c r="E99">
        <f>Raw_Data!F69</f>
        <v>29.6</v>
      </c>
      <c r="F99">
        <f>Raw_Data!G69</f>
        <v>28.3</v>
      </c>
      <c r="G99">
        <f>Raw_Data!H69</f>
        <v>27.8</v>
      </c>
      <c r="H99">
        <f>Raw_Data!I69</f>
        <v>27.6</v>
      </c>
    </row>
    <row r="100" spans="1:8" x14ac:dyDescent="0.25">
      <c r="A100" t="str">
        <f>Raw_Data!B70</f>
        <v>N</v>
      </c>
      <c r="B100">
        <f>Raw_Data!C70</f>
        <v>36.6</v>
      </c>
      <c r="C100">
        <f>Raw_Data!D70</f>
        <v>25</v>
      </c>
      <c r="D100">
        <f>Raw_Data!E70</f>
        <v>32.799999999999997</v>
      </c>
      <c r="E100">
        <f>Raw_Data!F70</f>
        <v>30.1</v>
      </c>
      <c r="F100">
        <f>Raw_Data!G70</f>
        <v>28.5</v>
      </c>
      <c r="G100">
        <f>Raw_Data!H70</f>
        <v>28.4</v>
      </c>
      <c r="H100">
        <f>Raw_Data!I70</f>
        <v>27.7</v>
      </c>
    </row>
    <row r="101" spans="1:8" x14ac:dyDescent="0.25">
      <c r="C101" t="s">
        <v>58</v>
      </c>
      <c r="D101">
        <f>AVERAGEIF(A88:A100,"=Y",D88:D100)</f>
        <v>31.775000000000002</v>
      </c>
      <c r="E101">
        <f>AVERAGEIF(A88:A100,"=Y",E88:E100)</f>
        <v>29.9</v>
      </c>
      <c r="F101">
        <f>AVERAGEIF(A88:A100,"=Y",F88:F100)</f>
        <v>29.099999999999998</v>
      </c>
      <c r="G101">
        <f>AVERAGEIF(A88:A100,"=Y",G88:G100)</f>
        <v>28.324999999999999</v>
      </c>
      <c r="H101">
        <f>AVERAGEIF(A88:A100,"=Y",H88:H100)</f>
        <v>27.65</v>
      </c>
    </row>
    <row r="102" spans="1:8" x14ac:dyDescent="0.25">
      <c r="C102" t="s">
        <v>17</v>
      </c>
      <c r="D102">
        <f>_xlfn.STDEV.S(D89,D91,D94,D99)</f>
        <v>0.25000000000000072</v>
      </c>
      <c r="E102">
        <f>_xlfn.STDEV.S(E89,E91,E94,E99)</f>
        <v>0.49665548085837835</v>
      </c>
      <c r="F102">
        <f>_xlfn.STDEV.S(F89,F91,F94,F99)</f>
        <v>0.84852813742385735</v>
      </c>
      <c r="G102">
        <f>_xlfn.STDEV.S(G89,G91,G94,G99)</f>
        <v>0.60759087111860544</v>
      </c>
      <c r="H102">
        <f>_xlfn.STDEV.S(H89,H91,H94,H99)</f>
        <v>0.49999999999999978</v>
      </c>
    </row>
    <row r="103" spans="1:8" x14ac:dyDescent="0.25">
      <c r="C103" t="s">
        <v>59</v>
      </c>
      <c r="D103">
        <f>AVERAGEIF(A88:A100,"=N",D88:D100)</f>
        <v>32.4</v>
      </c>
      <c r="E103">
        <f>AVERAGEIF(A88:A100,"=N",E88:E100)</f>
        <v>30.56666666666667</v>
      </c>
      <c r="F103">
        <f>AVERAGEIF(A88:A100,"=N",F88:F100)</f>
        <v>29.455555555555552</v>
      </c>
      <c r="G103">
        <f>AVERAGEIF(A88:A100,"=N",G88:G100)</f>
        <v>28.611111111111111</v>
      </c>
      <c r="H103">
        <f>AVERAGEIF(A88:A100,"=N",H88:H100)</f>
        <v>27.599999999999994</v>
      </c>
    </row>
    <row r="104" spans="1:8" x14ac:dyDescent="0.25">
      <c r="C104" t="s">
        <v>17</v>
      </c>
      <c r="D104">
        <f>_xlfn.STDEV.S(D88,D90,D92,D93,D95,D96,D97,D98,D100)</f>
        <v>0.30822070014844777</v>
      </c>
      <c r="E104">
        <f>_xlfn.STDEV.S(E88,E90,E92,E93,E95,E96,E97,E98,E100)</f>
        <v>0.50249378105604381</v>
      </c>
      <c r="F104">
        <f>_xlfn.STDEV.S(F88,F90,F92,F93,F95,F96,F97,F98,F100)</f>
        <v>0.75018516232846022</v>
      </c>
      <c r="G104">
        <f>_xlfn.STDEV.S(G88,G90,G92,G93,G95,G96,G97,G98,G100)</f>
        <v>0.61734197258173806</v>
      </c>
      <c r="H104">
        <f>_xlfn.STDEV.S(H88,H90,H92,H93,H95,H96,H97,H98,H100)</f>
        <v>0.71937472849690842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4D4B-AA6B-4074-8CCF-81FEB2B18759}">
  <dimension ref="A1:O17"/>
  <sheetViews>
    <sheetView topLeftCell="D1" workbookViewId="0">
      <selection activeCell="K20" sqref="K20"/>
    </sheetView>
  </sheetViews>
  <sheetFormatPr defaultRowHeight="13.2" x14ac:dyDescent="0.25"/>
  <cols>
    <col min="2" max="2" width="16.6640625" customWidth="1"/>
    <col min="3" max="3" width="16.5546875" customWidth="1"/>
    <col min="4" max="4" width="16.77734375" customWidth="1"/>
    <col min="5" max="5" width="16.33203125" customWidth="1"/>
    <col min="6" max="6" width="16.77734375" customWidth="1"/>
    <col min="7" max="7" width="17.21875" customWidth="1"/>
    <col min="10" max="10" width="16.5546875" customWidth="1"/>
    <col min="11" max="11" width="17.44140625" customWidth="1"/>
    <col min="12" max="12" width="17.109375" customWidth="1"/>
    <col min="13" max="13" width="16.77734375" customWidth="1"/>
    <col min="14" max="14" width="17.109375" customWidth="1"/>
    <col min="15" max="15" width="16.6640625" customWidth="1"/>
  </cols>
  <sheetData>
    <row r="1" spans="1:15" ht="14.4" x14ac:dyDescent="0.3">
      <c r="A1" s="3" t="s">
        <v>60</v>
      </c>
      <c r="B1" s="3"/>
      <c r="C1" s="3"/>
      <c r="D1" s="3"/>
      <c r="E1" s="3"/>
      <c r="F1" s="3"/>
      <c r="I1" s="3" t="s">
        <v>61</v>
      </c>
      <c r="J1" s="3"/>
      <c r="K1" s="3"/>
    </row>
    <row r="2" spans="1:15" ht="14.4" x14ac:dyDescent="0.3">
      <c r="A2" s="3" t="str">
        <f>[1]Avarageateachdistance!A1</f>
        <v>Distance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x14ac:dyDescent="0.25">
      <c r="A3">
        <v>1</v>
      </c>
      <c r="B3">
        <f>MLX_P!D16</f>
        <v>29.78</v>
      </c>
      <c r="C3">
        <f>MLX_P!D33</f>
        <v>30.2</v>
      </c>
      <c r="D3">
        <f>MLX_P!D47</f>
        <v>30.733333333333334</v>
      </c>
      <c r="E3">
        <f>MLX_P!D63</f>
        <v>30.459999999999997</v>
      </c>
      <c r="F3">
        <f>MLX_P!D82</f>
        <v>32.1</v>
      </c>
      <c r="G3">
        <f>MLX_P!D101</f>
        <v>31.775000000000002</v>
      </c>
      <c r="I3">
        <v>1</v>
      </c>
      <c r="J3">
        <f>MLX_P!D17</f>
        <v>0.6058052492344389</v>
      </c>
      <c r="K3">
        <f>MLX_P!D34</f>
        <v>0.8286535263104029</v>
      </c>
      <c r="L3">
        <f>MLX_P!D48</f>
        <v>0.68068592855540488</v>
      </c>
      <c r="M3">
        <f>MLX_P!D64</f>
        <v>0.64093681435848227</v>
      </c>
      <c r="N3">
        <f>MLX_P!D83</f>
        <v>0.56124860801609178</v>
      </c>
      <c r="O3">
        <f>MLX_P!D102</f>
        <v>0.25000000000000072</v>
      </c>
    </row>
    <row r="4" spans="1:15" x14ac:dyDescent="0.25">
      <c r="A4">
        <v>2</v>
      </c>
      <c r="B4">
        <f>MLX_P!E16</f>
        <v>26.53</v>
      </c>
      <c r="C4">
        <f>MLX_P!E33</f>
        <v>26.324999999999999</v>
      </c>
      <c r="D4">
        <f>MLX_P!E47</f>
        <v>28.333333333333332</v>
      </c>
      <c r="E4">
        <f>MLX_P!E63</f>
        <v>28.233333333333334</v>
      </c>
      <c r="F4">
        <f>MLX_P!E82</f>
        <v>30.82</v>
      </c>
      <c r="G4">
        <f>MLX_P!E101</f>
        <v>29.9</v>
      </c>
      <c r="I4">
        <v>2</v>
      </c>
      <c r="J4">
        <f>MLX_P!E17</f>
        <v>2.2359561713056899</v>
      </c>
      <c r="K4">
        <f>MLX_P!E34</f>
        <v>0.97425184971169843</v>
      </c>
      <c r="L4">
        <f>MLX_P!E48</f>
        <v>0.57735026918962584</v>
      </c>
      <c r="M4">
        <f>MLX_P!E64</f>
        <v>1.123981020005824</v>
      </c>
      <c r="N4">
        <f>MLX_P!E83</f>
        <v>0.77910204723129828</v>
      </c>
      <c r="O4">
        <f>MLX_P!E102</f>
        <v>0.49665548085837835</v>
      </c>
    </row>
    <row r="5" spans="1:15" x14ac:dyDescent="0.25">
      <c r="A5">
        <v>3</v>
      </c>
      <c r="B5">
        <f>MLX_P!F16</f>
        <v>24.340000000000003</v>
      </c>
      <c r="C5">
        <f>MLX_P!F33</f>
        <v>24.774999999999999</v>
      </c>
      <c r="D5">
        <f>MLX_P!F47</f>
        <v>26.5</v>
      </c>
      <c r="E5">
        <f>MLX_P!F63</f>
        <v>27.366666666666664</v>
      </c>
      <c r="F5">
        <f>MLX_P!F82</f>
        <v>28.96</v>
      </c>
      <c r="G5">
        <f>MLX_P!F101</f>
        <v>29.099999999999998</v>
      </c>
      <c r="I5">
        <v>3</v>
      </c>
      <c r="J5">
        <f>MLX_P!F17</f>
        <v>1.2280065146407</v>
      </c>
      <c r="K5">
        <f>MLX_P!F34</f>
        <v>0.97425184971169865</v>
      </c>
      <c r="L5">
        <f>MLX_P!F48</f>
        <v>0.69999999999999929</v>
      </c>
      <c r="M5">
        <f>MLX_P!F64</f>
        <v>1.0598742063723103</v>
      </c>
      <c r="N5">
        <f>MLX_P!F83</f>
        <v>1.0261578825892239</v>
      </c>
      <c r="O5">
        <f>MLX_P!F102</f>
        <v>0.84852813742385735</v>
      </c>
    </row>
    <row r="6" spans="1:15" x14ac:dyDescent="0.25">
      <c r="A6">
        <v>4</v>
      </c>
      <c r="B6">
        <f>MLX_P!G16</f>
        <v>23.1</v>
      </c>
      <c r="C6">
        <f>MLX_P!G33</f>
        <v>23.05</v>
      </c>
      <c r="D6">
        <f>MLX_P!G47</f>
        <v>25.033333333333331</v>
      </c>
      <c r="E6">
        <f>MLX_P!G63</f>
        <v>26.3</v>
      </c>
      <c r="F6">
        <f>MLX_P!G82</f>
        <v>27.639999999999997</v>
      </c>
      <c r="G6">
        <f>MLX_P!G101</f>
        <v>28.324999999999999</v>
      </c>
      <c r="I6">
        <v>4</v>
      </c>
      <c r="J6">
        <f>MLX_P!G17</f>
        <v>0.82158383625774911</v>
      </c>
      <c r="K6">
        <f>MLX_P!G34</f>
        <v>1.3892443989449805</v>
      </c>
      <c r="L6">
        <f>MLX_P!G48</f>
        <v>0.68068592855540488</v>
      </c>
      <c r="M6">
        <f>MLX_P!G64</f>
        <v>1.081665382639196</v>
      </c>
      <c r="N6">
        <f>MLX_P!G83</f>
        <v>0.86486993241758625</v>
      </c>
      <c r="O6">
        <f>MLX_P!G102</f>
        <v>0.60759087111860544</v>
      </c>
    </row>
    <row r="7" spans="1:15" x14ac:dyDescent="0.25">
      <c r="A7">
        <v>5</v>
      </c>
      <c r="B7">
        <f>MLX_P!H16</f>
        <v>21.94</v>
      </c>
      <c r="C7">
        <f>MLX_P!H33</f>
        <v>21.574999999999999</v>
      </c>
      <c r="D7">
        <f>MLX_P!H47</f>
        <v>22.5</v>
      </c>
      <c r="E7">
        <f>MLX_P!H63</f>
        <v>24.433333333333337</v>
      </c>
      <c r="F7">
        <f>MLX_P!H82</f>
        <v>26.659999999999997</v>
      </c>
      <c r="G7">
        <f>MLX_P!H101</f>
        <v>27.65</v>
      </c>
      <c r="I7">
        <v>5</v>
      </c>
      <c r="J7">
        <f>MLX_P!H17</f>
        <v>0.40373258476372692</v>
      </c>
      <c r="K7">
        <f>MLX_P!H34</f>
        <v>1.2284814474246917</v>
      </c>
      <c r="L7">
        <f>MLX_P!H48</f>
        <v>0.5</v>
      </c>
      <c r="M7">
        <f>MLX_P!H64</f>
        <v>1.0692676621563635</v>
      </c>
      <c r="N7">
        <f>MLX_P!H83</f>
        <v>0.91268833672837113</v>
      </c>
      <c r="O7">
        <f>MLX_P!H102</f>
        <v>0.49999999999999978</v>
      </c>
    </row>
    <row r="11" spans="1:15" ht="14.4" x14ac:dyDescent="0.3">
      <c r="A11" s="3" t="s">
        <v>62</v>
      </c>
      <c r="B11" s="3"/>
      <c r="C11" s="3"/>
      <c r="D11" s="3"/>
      <c r="E11" s="3"/>
      <c r="F11" s="3"/>
      <c r="I11" s="3" t="s">
        <v>63</v>
      </c>
      <c r="J11" s="3"/>
      <c r="K11" s="3"/>
    </row>
    <row r="12" spans="1:15" ht="14.4" x14ac:dyDescent="0.3">
      <c r="A12" s="3" t="s">
        <v>18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I12" s="3" t="s">
        <v>18</v>
      </c>
      <c r="J12" s="3" t="s">
        <v>19</v>
      </c>
      <c r="K12" s="3" t="s">
        <v>20</v>
      </c>
      <c r="L12" s="3" t="s">
        <v>21</v>
      </c>
      <c r="M12" s="3" t="s">
        <v>22</v>
      </c>
      <c r="N12" s="3" t="s">
        <v>23</v>
      </c>
      <c r="O12" s="3" t="s">
        <v>24</v>
      </c>
    </row>
    <row r="13" spans="1:15" x14ac:dyDescent="0.25">
      <c r="A13">
        <v>1</v>
      </c>
      <c r="B13">
        <f>MLX_P!D18</f>
        <v>30.2</v>
      </c>
      <c r="C13">
        <f>MLX_P!D35</f>
        <v>30.599999999999998</v>
      </c>
      <c r="D13">
        <f>MLX_P!D49</f>
        <v>30.919999999999998</v>
      </c>
      <c r="E13">
        <f>MLX_P!D65</f>
        <v>31.098571428571429</v>
      </c>
      <c r="F13">
        <f>MLX_P!D84</f>
        <v>32.75</v>
      </c>
      <c r="G13">
        <f>MLX_P!D103</f>
        <v>32.4</v>
      </c>
      <c r="I13">
        <v>1</v>
      </c>
      <c r="J13">
        <f>MLX_P!D19</f>
        <v>0.44077853201547185</v>
      </c>
      <c r="K13">
        <f>MLX_P!D36</f>
        <v>0.63770421565696755</v>
      </c>
      <c r="L13">
        <f>MLX_P!D50</f>
        <v>0.47644516998286329</v>
      </c>
      <c r="M13">
        <f>MLX_P!D66</f>
        <v>0.44588862585478278</v>
      </c>
      <c r="N13">
        <f>MLX_P!D85</f>
        <v>0.72899147555274624</v>
      </c>
      <c r="O13">
        <f>MLX_P!D104</f>
        <v>0.30822070014844777</v>
      </c>
    </row>
    <row r="14" spans="1:15" x14ac:dyDescent="0.25">
      <c r="A14">
        <v>2</v>
      </c>
      <c r="B14">
        <f>MLX_P!E18</f>
        <v>26.764999999999997</v>
      </c>
      <c r="C14">
        <f>MLX_P!E35</f>
        <v>26.785714285714288</v>
      </c>
      <c r="D14">
        <f>MLX_P!E49</f>
        <v>28.02</v>
      </c>
      <c r="E14">
        <f>MLX_P!E65</f>
        <v>28.185714285714287</v>
      </c>
      <c r="F14">
        <f>MLX_P!E84</f>
        <v>31.074999999999999</v>
      </c>
      <c r="G14">
        <f>MLX_P!E103</f>
        <v>30.56666666666667</v>
      </c>
      <c r="I14">
        <v>2</v>
      </c>
      <c r="J14">
        <f>MLX_P!E19</f>
        <v>1.8524346913492755</v>
      </c>
      <c r="K14">
        <f>MLX_P!E36</f>
        <v>0.87259874594716902</v>
      </c>
      <c r="L14">
        <f>MLX_P!E50</f>
        <v>1.0686440005914037</v>
      </c>
      <c r="M14">
        <f>MLX_P!E66</f>
        <v>0.8795832346439233</v>
      </c>
      <c r="N14">
        <f>MLX_P!E85</f>
        <v>0.74976186695700775</v>
      </c>
      <c r="O14">
        <f>MLX_P!E104</f>
        <v>0.50249378105604381</v>
      </c>
    </row>
    <row r="15" spans="1:15" x14ac:dyDescent="0.25">
      <c r="A15">
        <v>3</v>
      </c>
      <c r="B15">
        <f>MLX_P!F18</f>
        <v>24.325000000000003</v>
      </c>
      <c r="C15">
        <f>MLX_P!F35</f>
        <v>24.928571428571427</v>
      </c>
      <c r="D15">
        <f>MLX_P!F49</f>
        <v>26.32</v>
      </c>
      <c r="E15">
        <f>MLX_P!F65</f>
        <v>27.000000000000004</v>
      </c>
      <c r="F15">
        <f>MLX_P!F84</f>
        <v>29.212500000000002</v>
      </c>
      <c r="G15">
        <f>MLX_P!F103</f>
        <v>29.455555555555552</v>
      </c>
      <c r="I15">
        <v>3</v>
      </c>
      <c r="J15">
        <f>MLX_P!F19</f>
        <v>0.87952909478392394</v>
      </c>
      <c r="K15">
        <f>MLX_P!F36</f>
        <v>0.75435245015020613</v>
      </c>
      <c r="L15">
        <f>MLX_P!F50</f>
        <v>0.81670067956381676</v>
      </c>
      <c r="M15">
        <f>MLX_P!F66</f>
        <v>0.48166378315169145</v>
      </c>
      <c r="N15">
        <f>MLX_P!F85</f>
        <v>0.93874916777592987</v>
      </c>
      <c r="O15">
        <f>MLX_P!F104</f>
        <v>0.75018516232846022</v>
      </c>
    </row>
    <row r="16" spans="1:15" x14ac:dyDescent="0.25">
      <c r="A16">
        <v>4</v>
      </c>
      <c r="B16">
        <f>MLX_P!G18</f>
        <v>23.0825</v>
      </c>
      <c r="C16">
        <f>MLX_P!G35</f>
        <v>23.414285714285715</v>
      </c>
      <c r="D16">
        <f>MLX_P!G49</f>
        <v>25.02</v>
      </c>
      <c r="E16">
        <f>MLX_P!G65</f>
        <v>26.157142857142855</v>
      </c>
      <c r="F16">
        <f>MLX_P!G84</f>
        <v>27.787500000000001</v>
      </c>
      <c r="G16">
        <f>MLX_P!G103</f>
        <v>28.611111111111111</v>
      </c>
      <c r="I16">
        <v>4</v>
      </c>
      <c r="J16">
        <f>MLX_P!G19</f>
        <v>0.58665516763622438</v>
      </c>
      <c r="K16">
        <f>MLX_P!G36</f>
        <v>1.0792413561210046</v>
      </c>
      <c r="L16">
        <f>MLX_P!G50</f>
        <v>0.59329587896765279</v>
      </c>
      <c r="M16">
        <f>MLX_P!G66</f>
        <v>0.51251016250086856</v>
      </c>
      <c r="N16">
        <f>MLX_P!G85</f>
        <v>0.68959097607619146</v>
      </c>
      <c r="O16">
        <f>MLX_P!G104</f>
        <v>0.61734197258173806</v>
      </c>
    </row>
    <row r="17" spans="1:15" x14ac:dyDescent="0.25">
      <c r="A17">
        <v>5</v>
      </c>
      <c r="B17">
        <f>MLX_P!H18</f>
        <v>21.837499999999999</v>
      </c>
      <c r="C17">
        <f>MLX_P!H35</f>
        <v>22.271428571428572</v>
      </c>
      <c r="D17">
        <f>MLX_P!H49</f>
        <v>23.02</v>
      </c>
      <c r="E17">
        <f>MLX_P!H65</f>
        <v>24.271428571428572</v>
      </c>
      <c r="F17">
        <f>MLX_P!H84</f>
        <v>26.9375</v>
      </c>
      <c r="G17">
        <f>MLX_P!H103</f>
        <v>27.599999999999994</v>
      </c>
      <c r="I17">
        <v>5</v>
      </c>
      <c r="J17">
        <f>MLX_P!H19</f>
        <v>0.50691644845505412</v>
      </c>
      <c r="K17">
        <f>MLX_P!H36</f>
        <v>1.1324226032630014</v>
      </c>
      <c r="L17">
        <f>MLX_P!H50</f>
        <v>0.396232255123179</v>
      </c>
      <c r="M17">
        <f>MLX_P!H66</f>
        <v>0.41190613817551547</v>
      </c>
      <c r="N17">
        <f>MLX_P!H85</f>
        <v>0.63005101834239241</v>
      </c>
      <c r="O17">
        <f>MLX_P!H104</f>
        <v>0.71937472849690842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5459-C3FE-4E1A-B72F-80AB49902528}">
  <dimension ref="A1:H104"/>
  <sheetViews>
    <sheetView topLeftCell="A72" workbookViewId="0">
      <selection activeCell="O90" sqref="O90"/>
    </sheetView>
  </sheetViews>
  <sheetFormatPr defaultRowHeight="13.2" x14ac:dyDescent="0.25"/>
  <cols>
    <col min="3" max="3" width="27.88671875" customWidth="1"/>
  </cols>
  <sheetData>
    <row r="1" spans="1:8" x14ac:dyDescent="0.25">
      <c r="C1" t="s">
        <v>26</v>
      </c>
    </row>
    <row r="2" spans="1:8" x14ac:dyDescent="0.25">
      <c r="A2" t="str">
        <f>Raw_Data!B2</f>
        <v>glasses</v>
      </c>
      <c r="B2" t="str">
        <f>Raw_Data!C2</f>
        <v>body temp</v>
      </c>
      <c r="C2" t="str">
        <f>Raw_Data!D2</f>
        <v>ambient temp</v>
      </c>
      <c r="D2" t="str">
        <f>Raw_Data!E2</f>
        <v>1M</v>
      </c>
      <c r="E2" t="str">
        <f>Raw_Data!F2</f>
        <v>2M</v>
      </c>
      <c r="F2" t="str">
        <f>Raw_Data!G2</f>
        <v>3M</v>
      </c>
      <c r="G2" t="str">
        <f>Raw_Data!H2</f>
        <v>4M</v>
      </c>
      <c r="H2" t="str">
        <f>Raw_Data!I2</f>
        <v>5M</v>
      </c>
    </row>
    <row r="3" spans="1:8" x14ac:dyDescent="0.25">
      <c r="A3" t="str">
        <f>Raw_Data!B3</f>
        <v>N</v>
      </c>
      <c r="B3">
        <f>Raw_Data!C3</f>
        <v>36.799999999999997</v>
      </c>
      <c r="C3">
        <f>Raw_Data!D3</f>
        <v>16</v>
      </c>
      <c r="D3">
        <f>Raw_Data!J3</f>
        <v>30.5</v>
      </c>
      <c r="E3">
        <f>Raw_Data!K3</f>
        <v>26</v>
      </c>
      <c r="F3">
        <f>Raw_Data!L3</f>
        <v>23.5</v>
      </c>
      <c r="G3">
        <f>Raw_Data!M3</f>
        <v>22.5</v>
      </c>
      <c r="H3">
        <f>Raw_Data!N3</f>
        <v>21</v>
      </c>
    </row>
    <row r="4" spans="1:8" x14ac:dyDescent="0.25">
      <c r="A4" t="str">
        <f>Raw_Data!B4</f>
        <v>Y</v>
      </c>
      <c r="B4">
        <f>Raw_Data!C4</f>
        <v>36.799999999999997</v>
      </c>
      <c r="C4">
        <f>Raw_Data!D4</f>
        <v>16</v>
      </c>
      <c r="D4">
        <f>Raw_Data!J4</f>
        <v>30.5</v>
      </c>
      <c r="E4">
        <f>Raw_Data!K4</f>
        <v>28.5</v>
      </c>
      <c r="F4">
        <f>Raw_Data!L4</f>
        <v>25.5</v>
      </c>
      <c r="G4">
        <f>Raw_Data!M4</f>
        <v>22.5</v>
      </c>
      <c r="H4">
        <f>Raw_Data!N4</f>
        <v>23</v>
      </c>
    </row>
    <row r="5" spans="1:8" x14ac:dyDescent="0.25">
      <c r="A5" t="str">
        <f>Raw_Data!B5</f>
        <v>N</v>
      </c>
      <c r="B5">
        <f>Raw_Data!C5</f>
        <v>36.799999999999997</v>
      </c>
      <c r="C5">
        <f>Raw_Data!D5</f>
        <v>16</v>
      </c>
      <c r="D5">
        <f>Raw_Data!J5</f>
        <v>30.8</v>
      </c>
      <c r="E5">
        <f>Raw_Data!K5</f>
        <v>29</v>
      </c>
      <c r="F5">
        <f>Raw_Data!L5</f>
        <v>25.3</v>
      </c>
      <c r="G5">
        <f>Raw_Data!M5</f>
        <v>23</v>
      </c>
      <c r="H5">
        <f>Raw_Data!N5</f>
        <v>23</v>
      </c>
    </row>
    <row r="6" spans="1:8" x14ac:dyDescent="0.25">
      <c r="A6" t="str">
        <f>Raw_Data!B6</f>
        <v>Y</v>
      </c>
      <c r="B6">
        <f>Raw_Data!C6</f>
        <v>36.6</v>
      </c>
      <c r="C6">
        <f>Raw_Data!D6</f>
        <v>16</v>
      </c>
      <c r="D6">
        <f>Raw_Data!J6</f>
        <v>31.2</v>
      </c>
      <c r="E6">
        <f>Raw_Data!K6</f>
        <v>28.5</v>
      </c>
      <c r="F6">
        <f>Raw_Data!L6</f>
        <v>25.4</v>
      </c>
      <c r="G6">
        <f>Raw_Data!M6</f>
        <v>24</v>
      </c>
      <c r="H6">
        <f>Raw_Data!N6</f>
        <v>22</v>
      </c>
    </row>
    <row r="7" spans="1:8" x14ac:dyDescent="0.25">
      <c r="A7" t="str">
        <f>Raw_Data!B7</f>
        <v>N</v>
      </c>
      <c r="B7">
        <f>Raw_Data!C7</f>
        <v>36.6</v>
      </c>
      <c r="C7">
        <f>Raw_Data!D7</f>
        <v>16</v>
      </c>
      <c r="D7">
        <f>Raw_Data!J7</f>
        <v>32</v>
      </c>
      <c r="E7">
        <f>Raw_Data!K7</f>
        <v>29.7</v>
      </c>
      <c r="F7">
        <f>Raw_Data!L7</f>
        <v>25.7</v>
      </c>
      <c r="G7">
        <f>Raw_Data!M7</f>
        <v>24</v>
      </c>
      <c r="H7">
        <f>Raw_Data!N7</f>
        <v>23</v>
      </c>
    </row>
    <row r="8" spans="1:8" x14ac:dyDescent="0.25">
      <c r="A8" t="str">
        <f>Raw_Data!B8</f>
        <v>Y</v>
      </c>
      <c r="B8">
        <f>Raw_Data!C8</f>
        <v>35.4</v>
      </c>
      <c r="C8">
        <f>Raw_Data!D8</f>
        <v>16</v>
      </c>
      <c r="D8">
        <f>Raw_Data!J8</f>
        <v>30.1</v>
      </c>
      <c r="E8">
        <f>Raw_Data!K8</f>
        <v>26</v>
      </c>
      <c r="F8">
        <f>Raw_Data!L8</f>
        <v>24.1</v>
      </c>
      <c r="G8">
        <f>Raw_Data!M8</f>
        <v>23</v>
      </c>
      <c r="H8">
        <f>Raw_Data!N8</f>
        <v>22</v>
      </c>
    </row>
    <row r="9" spans="1:8" x14ac:dyDescent="0.25">
      <c r="A9" t="str">
        <f>Raw_Data!B9</f>
        <v>N</v>
      </c>
      <c r="B9">
        <f>Raw_Data!C9</f>
        <v>35.4</v>
      </c>
      <c r="C9">
        <f>Raw_Data!D9</f>
        <v>16</v>
      </c>
      <c r="D9">
        <f>Raw_Data!J9</f>
        <v>30</v>
      </c>
      <c r="E9">
        <f>Raw_Data!K9</f>
        <v>27</v>
      </c>
      <c r="F9">
        <f>Raw_Data!L9</f>
        <v>24.5</v>
      </c>
      <c r="G9">
        <f>Raw_Data!M9</f>
        <v>23.7</v>
      </c>
      <c r="H9">
        <f>Raw_Data!N9</f>
        <v>21</v>
      </c>
    </row>
    <row r="10" spans="1:8" x14ac:dyDescent="0.25">
      <c r="A10" t="str">
        <f>Raw_Data!B10</f>
        <v>N</v>
      </c>
      <c r="B10">
        <f>Raw_Data!C10</f>
        <v>36.700000000000003</v>
      </c>
      <c r="C10">
        <f>Raw_Data!D10</f>
        <v>16</v>
      </c>
      <c r="D10">
        <f>Raw_Data!J10</f>
        <v>30.2</v>
      </c>
      <c r="E10">
        <f>Raw_Data!K10</f>
        <v>26.5</v>
      </c>
      <c r="F10">
        <f>Raw_Data!L10</f>
        <v>24.7</v>
      </c>
      <c r="G10">
        <f>Raw_Data!M10</f>
        <v>23.5</v>
      </c>
      <c r="H10">
        <f>Raw_Data!N10</f>
        <v>22</v>
      </c>
    </row>
    <row r="11" spans="1:8" x14ac:dyDescent="0.25">
      <c r="A11" t="str">
        <f>Raw_Data!B11</f>
        <v>N</v>
      </c>
      <c r="B11">
        <f>Raw_Data!C11</f>
        <v>36.1</v>
      </c>
      <c r="C11">
        <f>Raw_Data!D11</f>
        <v>16</v>
      </c>
      <c r="D11">
        <f>Raw_Data!J11</f>
        <v>30.5</v>
      </c>
      <c r="E11">
        <f>Raw_Data!K11</f>
        <v>27</v>
      </c>
      <c r="F11">
        <f>Raw_Data!L11</f>
        <v>26</v>
      </c>
      <c r="G11">
        <f>Raw_Data!M11</f>
        <v>24</v>
      </c>
      <c r="H11">
        <f>Raw_Data!N11</f>
        <v>23</v>
      </c>
    </row>
    <row r="12" spans="1:8" x14ac:dyDescent="0.25">
      <c r="A12" t="str">
        <f>Raw_Data!B12</f>
        <v>Y</v>
      </c>
      <c r="B12">
        <f>Raw_Data!C12</f>
        <v>36.6</v>
      </c>
      <c r="C12">
        <f>Raw_Data!D12</f>
        <v>16</v>
      </c>
      <c r="D12">
        <f>Raw_Data!J12</f>
        <v>30.2</v>
      </c>
      <c r="E12">
        <f>Raw_Data!K12</f>
        <v>26.5</v>
      </c>
      <c r="F12">
        <f>Raw_Data!L12</f>
        <v>24</v>
      </c>
      <c r="G12">
        <f>Raw_Data!M12</f>
        <v>23</v>
      </c>
      <c r="H12">
        <f>Raw_Data!N12</f>
        <v>22</v>
      </c>
    </row>
    <row r="13" spans="1:8" x14ac:dyDescent="0.25">
      <c r="A13" t="str">
        <f>Raw_Data!B13</f>
        <v>N</v>
      </c>
      <c r="B13">
        <f>Raw_Data!C13</f>
        <v>36.6</v>
      </c>
      <c r="C13">
        <f>Raw_Data!D13</f>
        <v>16</v>
      </c>
      <c r="D13">
        <f>Raw_Data!J13</f>
        <v>30.5</v>
      </c>
      <c r="E13">
        <f>Raw_Data!K13</f>
        <v>26.58</v>
      </c>
      <c r="F13">
        <f>Raw_Data!L13</f>
        <v>24.5</v>
      </c>
      <c r="G13">
        <f>Raw_Data!M13</f>
        <v>23.3</v>
      </c>
      <c r="H13">
        <f>Raw_Data!N13</f>
        <v>23</v>
      </c>
    </row>
    <row r="14" spans="1:8" x14ac:dyDescent="0.25">
      <c r="A14" t="str">
        <f>Raw_Data!B14</f>
        <v>Y</v>
      </c>
      <c r="B14">
        <f>Raw_Data!C14</f>
        <v>36.4</v>
      </c>
      <c r="C14">
        <f>Raw_Data!D14</f>
        <v>16</v>
      </c>
      <c r="D14">
        <f>Raw_Data!J14</f>
        <v>29</v>
      </c>
      <c r="E14">
        <f>Raw_Data!K14</f>
        <v>26</v>
      </c>
      <c r="F14">
        <f>Raw_Data!L14</f>
        <v>24</v>
      </c>
      <c r="G14">
        <f>Raw_Data!M14</f>
        <v>23</v>
      </c>
      <c r="H14">
        <f>Raw_Data!N14</f>
        <v>22.8</v>
      </c>
    </row>
    <row r="15" spans="1:8" x14ac:dyDescent="0.25">
      <c r="A15" t="str">
        <f>Raw_Data!B15</f>
        <v>N</v>
      </c>
      <c r="B15">
        <f>Raw_Data!C15</f>
        <v>36.4</v>
      </c>
      <c r="C15">
        <f>Raw_Data!D15</f>
        <v>16</v>
      </c>
      <c r="D15">
        <f>Raw_Data!J15</f>
        <v>30.5</v>
      </c>
      <c r="E15">
        <f>Raw_Data!K15</f>
        <v>26.5</v>
      </c>
      <c r="F15">
        <f>Raw_Data!L15</f>
        <v>25.4</v>
      </c>
      <c r="G15">
        <f>Raw_Data!M15</f>
        <v>23.7</v>
      </c>
      <c r="H15">
        <f>Raw_Data!N15</f>
        <v>23</v>
      </c>
    </row>
    <row r="16" spans="1:8" x14ac:dyDescent="0.25">
      <c r="C16" t="s">
        <v>58</v>
      </c>
      <c r="D16">
        <f>AVERAGEIF(A3:A15,"=Y",D3:D15)</f>
        <v>30.2</v>
      </c>
      <c r="E16">
        <f>AVERAGEIF(A3:A15,"=Y",E3:E15)</f>
        <v>27.1</v>
      </c>
      <c r="F16">
        <f>AVERAGEIF(A3:A15,"=Y",F3:F15)</f>
        <v>24.6</v>
      </c>
      <c r="G16">
        <f>AVERAGEIF(A3:A15,"=Y",G3:G15)</f>
        <v>23.1</v>
      </c>
      <c r="H16">
        <f>AVERAGEIF(A3:A15,"=Y",H3:H15)</f>
        <v>22.36</v>
      </c>
    </row>
    <row r="17" spans="1:8" x14ac:dyDescent="0.25">
      <c r="C17" t="s">
        <v>17</v>
      </c>
      <c r="D17">
        <f>_xlfn.STDEV.S(D4,D6,D8,D12,D14)</f>
        <v>0.79686887252546112</v>
      </c>
      <c r="E17">
        <f>_xlfn.STDEV.S(E4,E6,E8,E12,E14)</f>
        <v>1.2942179105544787</v>
      </c>
      <c r="F17">
        <f>_xlfn.STDEV.S(F4,F6,F8,F12,F14)</f>
        <v>0.77781745930520174</v>
      </c>
      <c r="G17">
        <f>_xlfn.STDEV.S(G4,G6,G8,G12,G14)</f>
        <v>0.54772255750516607</v>
      </c>
      <c r="H17">
        <f>_xlfn.STDEV.S(H4,H6,H8,H12,H14)</f>
        <v>0.49799598391954947</v>
      </c>
    </row>
    <row r="18" spans="1:8" x14ac:dyDescent="0.25">
      <c r="C18" t="s">
        <v>59</v>
      </c>
      <c r="D18">
        <f>AVERAGEIF(A3:A15,"=N",D3:D15)</f>
        <v>30.625</v>
      </c>
      <c r="E18">
        <f>AVERAGEIF(A3:A15,"=N",E3:E15)</f>
        <v>27.284999999999997</v>
      </c>
      <c r="F18">
        <f>AVERAGEIF(A3:A15,"=N",F3:F15)</f>
        <v>24.95</v>
      </c>
      <c r="G18">
        <f>AVERAGEIF(A3:A15,"=N",G3:G15)</f>
        <v>23.462499999999999</v>
      </c>
      <c r="H18">
        <f>AVERAGEIF(A3:A15,"=N",H3:H15)</f>
        <v>22.375</v>
      </c>
    </row>
    <row r="19" spans="1:8" x14ac:dyDescent="0.25">
      <c r="C19" t="s">
        <v>17</v>
      </c>
      <c r="D19">
        <f>_xlfn.STDEV.S(D3,D5,D7,D9,D10,D11,D13,D15)</f>
        <v>0.60415229867972875</v>
      </c>
      <c r="E19">
        <f>_xlfn.STDEV.S(E3,E5,E7,E9,E10,E11,E13,E15)</f>
        <v>1.3264668430512259</v>
      </c>
      <c r="F19">
        <f>_xlfn.STDEV.S(F3,F5,F7,F9,F10,F11,F13,F15)</f>
        <v>0.80711125096145897</v>
      </c>
      <c r="G19">
        <f>_xlfn.STDEV.S(G3,G5,G7,G9,G10,G11,G13,G15)</f>
        <v>0.51530157605591909</v>
      </c>
      <c r="H19">
        <f>_xlfn.STDEV.S(H3,H5,H7,H9,H10,H11,H13,H15)</f>
        <v>0.91612538131290433</v>
      </c>
    </row>
    <row r="21" spans="1:8" x14ac:dyDescent="0.25">
      <c r="A21" t="str">
        <f>$A$2</f>
        <v>glasses</v>
      </c>
      <c r="B21" t="str">
        <f t="shared" ref="B21:H21" si="0">B2</f>
        <v>body temp</v>
      </c>
      <c r="C21" t="str">
        <f t="shared" si="0"/>
        <v>ambient temp</v>
      </c>
      <c r="D21" t="str">
        <f t="shared" si="0"/>
        <v>1M</v>
      </c>
      <c r="E21" t="str">
        <f t="shared" si="0"/>
        <v>2M</v>
      </c>
      <c r="F21" t="str">
        <f t="shared" si="0"/>
        <v>3M</v>
      </c>
      <c r="G21" t="str">
        <f t="shared" si="0"/>
        <v>4M</v>
      </c>
      <c r="H21" t="str">
        <f t="shared" si="0"/>
        <v>5M</v>
      </c>
    </row>
    <row r="22" spans="1:8" x14ac:dyDescent="0.25">
      <c r="A22" t="str">
        <f>Raw_Data!B16</f>
        <v>Y</v>
      </c>
      <c r="B22">
        <f>Raw_Data!C16</f>
        <v>36.700000000000003</v>
      </c>
      <c r="C22">
        <f>Raw_Data!D16</f>
        <v>18</v>
      </c>
      <c r="D22">
        <f>Raw_Data!J16</f>
        <v>30.5</v>
      </c>
      <c r="E22">
        <f>Raw_Data!K16</f>
        <v>26</v>
      </c>
      <c r="F22">
        <f>Raw_Data!L16</f>
        <v>25</v>
      </c>
      <c r="G22">
        <f>Raw_Data!M16</f>
        <v>24</v>
      </c>
      <c r="H22">
        <f>Raw_Data!N16</f>
        <v>22.6</v>
      </c>
    </row>
    <row r="23" spans="1:8" x14ac:dyDescent="0.25">
      <c r="A23" t="str">
        <f>Raw_Data!B17</f>
        <v>N</v>
      </c>
      <c r="B23">
        <f>Raw_Data!C17</f>
        <v>36.700000000000003</v>
      </c>
      <c r="C23">
        <f>Raw_Data!D17</f>
        <v>18</v>
      </c>
      <c r="D23">
        <f>Raw_Data!J17</f>
        <v>30.8</v>
      </c>
      <c r="E23">
        <f>Raw_Data!K17</f>
        <v>26.2</v>
      </c>
      <c r="F23">
        <f>Raw_Data!L17</f>
        <v>25.5</v>
      </c>
      <c r="G23">
        <f>Raw_Data!M17</f>
        <v>24.3</v>
      </c>
      <c r="H23">
        <f>Raw_Data!N17</f>
        <v>23</v>
      </c>
    </row>
    <row r="24" spans="1:8" x14ac:dyDescent="0.25">
      <c r="A24" t="str">
        <f>Raw_Data!B18</f>
        <v>Y</v>
      </c>
      <c r="B24">
        <f>Raw_Data!C18</f>
        <v>35.200000000000003</v>
      </c>
      <c r="C24">
        <f>Raw_Data!D18</f>
        <v>18</v>
      </c>
      <c r="D24">
        <f>Raw_Data!J18</f>
        <v>31</v>
      </c>
      <c r="E24">
        <f>Raw_Data!K18</f>
        <v>28</v>
      </c>
      <c r="F24">
        <f>Raw_Data!L18</f>
        <v>26.6</v>
      </c>
      <c r="G24">
        <f>Raw_Data!M18</f>
        <v>24.2</v>
      </c>
      <c r="H24">
        <f>Raw_Data!N18</f>
        <v>21</v>
      </c>
    </row>
    <row r="25" spans="1:8" x14ac:dyDescent="0.25">
      <c r="A25" t="str">
        <f>Raw_Data!B19</f>
        <v>N</v>
      </c>
      <c r="B25">
        <f>Raw_Data!C19</f>
        <v>35.200000000000003</v>
      </c>
      <c r="C25">
        <f>Raw_Data!D19</f>
        <v>18</v>
      </c>
      <c r="D25">
        <f>Raw_Data!J19</f>
        <v>31.2</v>
      </c>
      <c r="E25">
        <f>Raw_Data!K19</f>
        <v>28.2</v>
      </c>
      <c r="F25">
        <f>Raw_Data!L19</f>
        <v>26.8</v>
      </c>
      <c r="G25">
        <f>Raw_Data!M19</f>
        <v>24.8</v>
      </c>
      <c r="H25">
        <f>Raw_Data!N19</f>
        <v>21</v>
      </c>
    </row>
    <row r="26" spans="1:8" x14ac:dyDescent="0.25">
      <c r="A26" t="str">
        <f>Raw_Data!B20</f>
        <v>Y</v>
      </c>
      <c r="B26">
        <f>Raw_Data!C20</f>
        <v>36.799999999999997</v>
      </c>
      <c r="C26">
        <f>Raw_Data!D20</f>
        <v>18</v>
      </c>
      <c r="D26">
        <f>Raw_Data!J20</f>
        <v>31.4</v>
      </c>
      <c r="E26">
        <f>Raw_Data!K20</f>
        <v>27</v>
      </c>
      <c r="F26">
        <f>Raw_Data!L20</f>
        <v>24.2</v>
      </c>
      <c r="G26">
        <f>Raw_Data!M20</f>
        <v>21.5</v>
      </c>
      <c r="H26">
        <f>Raw_Data!N20</f>
        <v>20</v>
      </c>
    </row>
    <row r="27" spans="1:8" x14ac:dyDescent="0.25">
      <c r="A27" t="str">
        <f>Raw_Data!B21</f>
        <v>N</v>
      </c>
      <c r="B27">
        <f>Raw_Data!C21</f>
        <v>36.799999999999997</v>
      </c>
      <c r="C27">
        <f>Raw_Data!D21</f>
        <v>18</v>
      </c>
      <c r="D27">
        <f>Raw_Data!J21</f>
        <v>31.8</v>
      </c>
      <c r="E27">
        <f>Raw_Data!K21</f>
        <v>28.1</v>
      </c>
      <c r="F27">
        <f>Raw_Data!L21</f>
        <v>24.8</v>
      </c>
      <c r="G27">
        <f>Raw_Data!M21</f>
        <v>21.5</v>
      </c>
      <c r="H27">
        <f>Raw_Data!N21</f>
        <v>21.3</v>
      </c>
    </row>
    <row r="28" spans="1:8" x14ac:dyDescent="0.25">
      <c r="A28" t="str">
        <f>Raw_Data!B22</f>
        <v>N</v>
      </c>
      <c r="B28">
        <f>Raw_Data!C22</f>
        <v>36.200000000000003</v>
      </c>
      <c r="C28">
        <f>Raw_Data!D22</f>
        <v>18</v>
      </c>
      <c r="D28">
        <f>Raw_Data!J22</f>
        <v>31.5</v>
      </c>
      <c r="E28">
        <f>Raw_Data!K22</f>
        <v>28.5</v>
      </c>
      <c r="F28">
        <f>Raw_Data!L22</f>
        <v>25.8</v>
      </c>
      <c r="G28">
        <f>Raw_Data!M22</f>
        <v>24.5</v>
      </c>
      <c r="H28">
        <f>Raw_Data!N22</f>
        <v>24</v>
      </c>
    </row>
    <row r="29" spans="1:8" x14ac:dyDescent="0.25">
      <c r="A29" t="str">
        <f>Raw_Data!B23</f>
        <v>N</v>
      </c>
      <c r="B29">
        <f>Raw_Data!C23</f>
        <v>36.6</v>
      </c>
      <c r="C29">
        <f>Raw_Data!D23</f>
        <v>18</v>
      </c>
      <c r="D29">
        <f>Raw_Data!J23</f>
        <v>30.2</v>
      </c>
      <c r="E29">
        <f>Raw_Data!K23</f>
        <v>27</v>
      </c>
      <c r="F29">
        <f>Raw_Data!L23</f>
        <v>24.8</v>
      </c>
      <c r="G29">
        <f>Raw_Data!M23</f>
        <v>24</v>
      </c>
      <c r="H29">
        <f>Raw_Data!N23</f>
        <v>22</v>
      </c>
    </row>
    <row r="30" spans="1:8" x14ac:dyDescent="0.25">
      <c r="A30" t="str">
        <f>Raw_Data!B24</f>
        <v>Y</v>
      </c>
      <c r="B30">
        <f>Raw_Data!C24</f>
        <v>36.799999999999997</v>
      </c>
      <c r="C30">
        <f>Raw_Data!D24</f>
        <v>18</v>
      </c>
      <c r="D30">
        <f>Raw_Data!J24</f>
        <v>30.8</v>
      </c>
      <c r="E30">
        <f>Raw_Data!K24</f>
        <v>26.3</v>
      </c>
      <c r="F30">
        <f>Raw_Data!L24</f>
        <v>25.1</v>
      </c>
      <c r="G30">
        <f>Raw_Data!M24</f>
        <v>24.5</v>
      </c>
      <c r="H30">
        <f>Raw_Data!N24</f>
        <v>23.8</v>
      </c>
    </row>
    <row r="31" spans="1:8" x14ac:dyDescent="0.25">
      <c r="A31" t="str">
        <f>Raw_Data!B25</f>
        <v>N</v>
      </c>
      <c r="B31">
        <f>Raw_Data!C25</f>
        <v>36.799999999999997</v>
      </c>
      <c r="C31">
        <f>Raw_Data!D25</f>
        <v>18</v>
      </c>
      <c r="D31">
        <f>Raw_Data!J25</f>
        <v>31.7</v>
      </c>
      <c r="E31">
        <f>Raw_Data!K25</f>
        <v>27</v>
      </c>
      <c r="F31">
        <f>Raw_Data!L25</f>
        <v>25.9</v>
      </c>
      <c r="G31">
        <f>Raw_Data!M25</f>
        <v>24.4</v>
      </c>
      <c r="H31">
        <f>Raw_Data!N25</f>
        <v>24</v>
      </c>
    </row>
    <row r="32" spans="1:8" x14ac:dyDescent="0.25">
      <c r="A32" t="str">
        <f>Raw_Data!B26</f>
        <v>N</v>
      </c>
      <c r="B32">
        <f>Raw_Data!C26</f>
        <v>36.799999999999997</v>
      </c>
      <c r="C32">
        <f>Raw_Data!D26</f>
        <v>18</v>
      </c>
      <c r="D32">
        <f>Raw_Data!J26</f>
        <v>30.2</v>
      </c>
      <c r="E32">
        <f>Raw_Data!K26</f>
        <v>27</v>
      </c>
      <c r="F32">
        <f>Raw_Data!L26</f>
        <v>24.8</v>
      </c>
      <c r="G32">
        <f>Raw_Data!M26</f>
        <v>24.2</v>
      </c>
      <c r="H32">
        <f>Raw_Data!N26</f>
        <v>23</v>
      </c>
    </row>
    <row r="33" spans="1:8" x14ac:dyDescent="0.25">
      <c r="C33" t="s">
        <v>58</v>
      </c>
      <c r="D33">
        <f>AVERAGEIF(A22:A32,"=Y",D22:D32)</f>
        <v>30.925000000000001</v>
      </c>
      <c r="E33">
        <f>AVERAGEIF(A22:A32,"=Y",E22:E32)</f>
        <v>26.824999999999999</v>
      </c>
      <c r="F33">
        <f>AVERAGEIF(A22:A32,"=Y",F22:F32)</f>
        <v>25.225000000000001</v>
      </c>
      <c r="G33">
        <f>AVERAGEIF(A22:A32,"=Y",G22:G32)</f>
        <v>23.55</v>
      </c>
      <c r="H33">
        <f>AVERAGEIF(A22:A32,"=Y",H22:H32)</f>
        <v>21.85</v>
      </c>
    </row>
    <row r="34" spans="1:8" x14ac:dyDescent="0.25">
      <c r="C34" t="s">
        <v>17</v>
      </c>
      <c r="D34">
        <f>_xlfn.STDEV.S(D22,D24,D26,D30)</f>
        <v>0.37749172176353679</v>
      </c>
      <c r="E34">
        <f>_xlfn.STDEV.S(E22,E24,E26,E30)</f>
        <v>0.88835053141576181</v>
      </c>
      <c r="F34">
        <f>_xlfn.STDEV.S(F22,F24,F26,F30)</f>
        <v>1.00124921972504</v>
      </c>
      <c r="G34">
        <f>_xlfn.STDEV.S(G22,G24,G26,G30)</f>
        <v>1.3820274961085253</v>
      </c>
      <c r="H34">
        <f>_xlfn.STDEV.S(H22,H24,H26,H30)</f>
        <v>1.6842406795546379</v>
      </c>
    </row>
    <row r="35" spans="1:8" x14ac:dyDescent="0.25">
      <c r="C35" t="s">
        <v>59</v>
      </c>
      <c r="D35">
        <f>AVERAGEIF(A22:A32,"=N",D22:D32)</f>
        <v>31.057142857142853</v>
      </c>
      <c r="E35">
        <f>AVERAGEIF(A22:A32,"=N",E22:E32)</f>
        <v>27.428571428571427</v>
      </c>
      <c r="F35">
        <f>AVERAGEIF(A22:A32,"=N",F22:F32)</f>
        <v>25.485714285714288</v>
      </c>
      <c r="G35">
        <f>AVERAGEIF(A22:A32,"=N",G22:G32)</f>
        <v>23.957142857142856</v>
      </c>
      <c r="H35">
        <f>AVERAGEIF(A22:A32,"=N",H22:H32)</f>
        <v>22.614285714285717</v>
      </c>
    </row>
    <row r="36" spans="1:8" x14ac:dyDescent="0.25">
      <c r="C36" t="s">
        <v>17</v>
      </c>
      <c r="D36">
        <f>_xlfn.STDEV.S(D23,D25,D27,D28,D29,D31,D32)</f>
        <v>0.67294661218936469</v>
      </c>
      <c r="E36">
        <f>_xlfn.STDEV.S(E23,E25,E27,E28,E29,E31,E32)</f>
        <v>0.84204965355234229</v>
      </c>
      <c r="F36">
        <f>_xlfn.STDEV.S(F23,F25,F27,F28,F29,F31,F32)</f>
        <v>0.75372092852410422</v>
      </c>
      <c r="G36">
        <f>_xlfn.STDEV.S(G23,G25,G27,G28,G29,G31,G32)</f>
        <v>1.1118410300894981</v>
      </c>
      <c r="H36">
        <f>_xlfn.STDEV.S(H23,H25,H27,H28,H29,H31,H32)</f>
        <v>1.2143977539348072</v>
      </c>
    </row>
    <row r="38" spans="1:8" x14ac:dyDescent="0.25">
      <c r="B38" t="str">
        <f t="shared" ref="B38:H38" si="1">B21</f>
        <v>body temp</v>
      </c>
      <c r="C38" t="str">
        <f t="shared" si="1"/>
        <v>ambient temp</v>
      </c>
      <c r="D38" t="str">
        <f t="shared" si="1"/>
        <v>1M</v>
      </c>
      <c r="E38" t="str">
        <f t="shared" si="1"/>
        <v>2M</v>
      </c>
      <c r="F38" t="str">
        <f t="shared" si="1"/>
        <v>3M</v>
      </c>
      <c r="G38" t="str">
        <f t="shared" si="1"/>
        <v>4M</v>
      </c>
      <c r="H38" t="str">
        <f t="shared" si="1"/>
        <v>5M</v>
      </c>
    </row>
    <row r="39" spans="1:8" x14ac:dyDescent="0.25">
      <c r="A39" t="str">
        <f>Raw_Data!B26</f>
        <v>N</v>
      </c>
      <c r="B39">
        <f>Raw_Data!C27</f>
        <v>36.6</v>
      </c>
      <c r="C39">
        <f>Raw_Data!D27</f>
        <v>20</v>
      </c>
      <c r="D39">
        <f>Raw_Data!J27</f>
        <v>31.3</v>
      </c>
      <c r="E39">
        <f>Raw_Data!K27</f>
        <v>28</v>
      </c>
      <c r="F39">
        <f>Raw_Data!L27</f>
        <v>26.5</v>
      </c>
      <c r="G39">
        <f>Raw_Data!M27</f>
        <v>25</v>
      </c>
      <c r="H39">
        <f>Raw_Data!N27</f>
        <v>24</v>
      </c>
    </row>
    <row r="40" spans="1:8" x14ac:dyDescent="0.25">
      <c r="A40" t="str">
        <f>Raw_Data!B27</f>
        <v>N</v>
      </c>
      <c r="B40">
        <f>Raw_Data!C28</f>
        <v>36.4</v>
      </c>
      <c r="C40">
        <f>Raw_Data!D28</f>
        <v>20</v>
      </c>
      <c r="D40">
        <f>Raw_Data!J28</f>
        <v>31</v>
      </c>
      <c r="E40">
        <f>Raw_Data!K28</f>
        <v>27</v>
      </c>
      <c r="F40">
        <f>Raw_Data!L28</f>
        <v>25.8</v>
      </c>
      <c r="G40">
        <f>Raw_Data!M28</f>
        <v>24</v>
      </c>
      <c r="H40">
        <f>Raw_Data!N28</f>
        <v>23.5</v>
      </c>
    </row>
    <row r="41" spans="1:8" x14ac:dyDescent="0.25">
      <c r="A41" t="str">
        <f>Raw_Data!B28</f>
        <v>N</v>
      </c>
      <c r="B41">
        <f>Raw_Data!C29</f>
        <v>36.9</v>
      </c>
      <c r="C41">
        <f>Raw_Data!D29</f>
        <v>20</v>
      </c>
      <c r="D41">
        <f>Raw_Data!J29</f>
        <v>31</v>
      </c>
      <c r="E41">
        <f>Raw_Data!K29</f>
        <v>27.5</v>
      </c>
      <c r="F41">
        <f>Raw_Data!L29</f>
        <v>26</v>
      </c>
      <c r="G41">
        <f>Raw_Data!M29</f>
        <v>24.2</v>
      </c>
      <c r="H41">
        <f>Raw_Data!N29</f>
        <v>22</v>
      </c>
    </row>
    <row r="42" spans="1:8" x14ac:dyDescent="0.25">
      <c r="A42" t="str">
        <f>Raw_Data!B29</f>
        <v>Y</v>
      </c>
      <c r="B42">
        <f>Raw_Data!C30</f>
        <v>36.9</v>
      </c>
      <c r="C42">
        <f>Raw_Data!D30</f>
        <v>20</v>
      </c>
      <c r="D42">
        <f>Raw_Data!J30</f>
        <v>31.7</v>
      </c>
      <c r="E42">
        <f>Raw_Data!K30</f>
        <v>28</v>
      </c>
      <c r="F42">
        <f>Raw_Data!L30</f>
        <v>26.7</v>
      </c>
      <c r="G42">
        <f>Raw_Data!M30</f>
        <v>25.2</v>
      </c>
      <c r="H42">
        <f>Raw_Data!N30</f>
        <v>22.5</v>
      </c>
    </row>
    <row r="43" spans="1:8" x14ac:dyDescent="0.25">
      <c r="A43" t="str">
        <f>Raw_Data!B30</f>
        <v>N</v>
      </c>
      <c r="B43">
        <f>Raw_Data!C31</f>
        <v>36.4</v>
      </c>
      <c r="C43">
        <f>Raw_Data!D31</f>
        <v>20</v>
      </c>
      <c r="D43">
        <f>Raw_Data!J31</f>
        <v>31</v>
      </c>
      <c r="E43">
        <f>Raw_Data!K31</f>
        <v>29.2</v>
      </c>
      <c r="F43">
        <f>Raw_Data!L31</f>
        <v>27</v>
      </c>
      <c r="G43">
        <f>Raw_Data!M31</f>
        <v>25.5</v>
      </c>
      <c r="H43">
        <f>Raw_Data!N31</f>
        <v>22.8</v>
      </c>
    </row>
    <row r="44" spans="1:8" x14ac:dyDescent="0.25">
      <c r="A44" t="str">
        <f>Raw_Data!B31</f>
        <v>Y</v>
      </c>
      <c r="B44">
        <f>Raw_Data!C32</f>
        <v>36.4</v>
      </c>
      <c r="C44">
        <f>Raw_Data!D32</f>
        <v>20</v>
      </c>
      <c r="D44">
        <f>Raw_Data!J32</f>
        <v>31.3</v>
      </c>
      <c r="E44">
        <f>Raw_Data!K32</f>
        <v>29.5</v>
      </c>
      <c r="F44">
        <f>Raw_Data!L32</f>
        <v>27.5</v>
      </c>
      <c r="G44">
        <f>Raw_Data!M32</f>
        <v>25.8</v>
      </c>
      <c r="H44">
        <f>Raw_Data!N32</f>
        <v>23</v>
      </c>
    </row>
    <row r="45" spans="1:8" x14ac:dyDescent="0.25">
      <c r="A45" t="str">
        <f>Raw_Data!B32</f>
        <v>N</v>
      </c>
      <c r="B45">
        <f>Raw_Data!C33</f>
        <v>36.799999999999997</v>
      </c>
      <c r="C45">
        <f>Raw_Data!D33</f>
        <v>20</v>
      </c>
      <c r="D45">
        <f>Raw_Data!J33</f>
        <v>31.2</v>
      </c>
      <c r="E45">
        <f>Raw_Data!K33</f>
        <v>29.5</v>
      </c>
      <c r="F45">
        <f>Raw_Data!L33</f>
        <v>27</v>
      </c>
      <c r="G45">
        <f>Raw_Data!M33</f>
        <v>26.2</v>
      </c>
      <c r="H45">
        <f>Raw_Data!N33</f>
        <v>23.3</v>
      </c>
    </row>
    <row r="46" spans="1:8" x14ac:dyDescent="0.25">
      <c r="A46" t="str">
        <f>Raw_Data!B33</f>
        <v>Y</v>
      </c>
      <c r="B46">
        <f>Raw_Data!C34</f>
        <v>36.799999999999997</v>
      </c>
      <c r="C46">
        <f>Raw_Data!D34</f>
        <v>20</v>
      </c>
      <c r="D46">
        <f>Raw_Data!J34</f>
        <v>31.5</v>
      </c>
      <c r="E46">
        <f>Raw_Data!K34</f>
        <v>29.8</v>
      </c>
      <c r="F46">
        <f>Raw_Data!L34</f>
        <v>27.4</v>
      </c>
      <c r="G46">
        <f>Raw_Data!M34</f>
        <v>26.5</v>
      </c>
      <c r="H46">
        <f>Raw_Data!N34</f>
        <v>23</v>
      </c>
    </row>
    <row r="47" spans="1:8" x14ac:dyDescent="0.25">
      <c r="C47" t="s">
        <v>58</v>
      </c>
      <c r="D47">
        <f>AVERAGEIF(A39:A46,"=Y",D39:D46)</f>
        <v>31.5</v>
      </c>
      <c r="E47">
        <f>AVERAGEIF(A39:A46,"=Y",E39:E46)</f>
        <v>29.099999999999998</v>
      </c>
      <c r="F47">
        <f>AVERAGEIF(A39:A46,"=Y",F39:F46)</f>
        <v>27.2</v>
      </c>
      <c r="G47">
        <f>AVERAGEIF(A39:A46,"=Y",G39:G46)</f>
        <v>25.833333333333332</v>
      </c>
      <c r="H47">
        <f>AVERAGEIF(A39:A46,"=Y",H39:H46)</f>
        <v>22.833333333333332</v>
      </c>
    </row>
    <row r="48" spans="1:8" x14ac:dyDescent="0.25">
      <c r="C48" t="s">
        <v>17</v>
      </c>
      <c r="D48">
        <f>_xlfn.STDEV.S(D42,D44,D46)</f>
        <v>0.19999999999999929</v>
      </c>
      <c r="E48">
        <f>_xlfn.STDEV.S(E42,E44,E46)</f>
        <v>0.96436507609929578</v>
      </c>
      <c r="F48">
        <f>_xlfn.STDEV.S(F42,F44,F46)</f>
        <v>0.43588989435406744</v>
      </c>
      <c r="G48">
        <f>_xlfn.STDEV.S(G42,G44,G46)</f>
        <v>0.65064070986477152</v>
      </c>
      <c r="H48">
        <f>_xlfn.STDEV.S(H42,H44,H46)</f>
        <v>0.28867513459481292</v>
      </c>
    </row>
    <row r="49" spans="1:8" x14ac:dyDescent="0.25">
      <c r="C49" t="s">
        <v>59</v>
      </c>
      <c r="D49">
        <f>AVERAGEIF(A39:A46,"=N",D39:D46)</f>
        <v>31.1</v>
      </c>
      <c r="E49">
        <f>AVERAGEIF(A39:A46,"=N",E39:E46)</f>
        <v>28.24</v>
      </c>
      <c r="F49">
        <f>AVERAGEIF(A39:A46,"=N",F39:F46)</f>
        <v>26.46</v>
      </c>
      <c r="G49">
        <f>AVERAGEIF(A39:A46,"=N",G39:G46)</f>
        <v>24.98</v>
      </c>
      <c r="H49">
        <f>AVERAGEIF(A39:A46,"=N",H39:H46)</f>
        <v>23.119999999999997</v>
      </c>
    </row>
    <row r="50" spans="1:8" x14ac:dyDescent="0.25">
      <c r="C50" t="s">
        <v>17</v>
      </c>
      <c r="D50">
        <f>_xlfn.STDEV.S(D39,D40,D41,D43,D45)</f>
        <v>0.14142135623730964</v>
      </c>
      <c r="E50">
        <f>_xlfn.STDEV.S(E39,E40,E41,E43,E45)</f>
        <v>1.0784247771634328</v>
      </c>
      <c r="F50">
        <f>_xlfn.STDEV.S(F39,F40,F41,F43,F45)</f>
        <v>0.55497747702046407</v>
      </c>
      <c r="G50">
        <f>_xlfn.STDEV.S(G39,G40,G41,G43,G45)</f>
        <v>0.91214034007931033</v>
      </c>
      <c r="H50">
        <f>_xlfn.STDEV.S(H39,H40,H41,H43,H45)</f>
        <v>0.75960516059331773</v>
      </c>
    </row>
    <row r="52" spans="1:8" x14ac:dyDescent="0.25">
      <c r="B52" t="str">
        <f t="shared" ref="B52:H52" si="2">B38</f>
        <v>body temp</v>
      </c>
      <c r="C52" t="str">
        <f t="shared" si="2"/>
        <v>ambient temp</v>
      </c>
      <c r="D52" t="str">
        <f t="shared" si="2"/>
        <v>1M</v>
      </c>
      <c r="E52" t="str">
        <f t="shared" si="2"/>
        <v>2M</v>
      </c>
      <c r="F52" t="str">
        <f t="shared" si="2"/>
        <v>3M</v>
      </c>
      <c r="G52" t="str">
        <f t="shared" si="2"/>
        <v>4M</v>
      </c>
      <c r="H52" t="str">
        <f t="shared" si="2"/>
        <v>5M</v>
      </c>
    </row>
    <row r="53" spans="1:8" x14ac:dyDescent="0.25">
      <c r="A53" t="str">
        <f>Raw_Data!B34</f>
        <v>N</v>
      </c>
      <c r="B53">
        <f>Raw_Data!C35</f>
        <v>36.700000000000003</v>
      </c>
      <c r="C53">
        <f>Raw_Data!D35</f>
        <v>22</v>
      </c>
      <c r="D53">
        <f>Raw_Data!J35</f>
        <v>31.2</v>
      </c>
      <c r="E53">
        <f>Raw_Data!K35</f>
        <v>27.2</v>
      </c>
      <c r="F53">
        <f>Raw_Data!L35</f>
        <v>26.8</v>
      </c>
      <c r="G53">
        <f>Raw_Data!M35</f>
        <v>26</v>
      </c>
      <c r="H53">
        <f>Raw_Data!N35</f>
        <v>24</v>
      </c>
    </row>
    <row r="54" spans="1:8" x14ac:dyDescent="0.25">
      <c r="A54" t="str">
        <f>Raw_Data!B35</f>
        <v>Y</v>
      </c>
      <c r="B54">
        <f>Raw_Data!C36</f>
        <v>36.700000000000003</v>
      </c>
      <c r="C54">
        <f>Raw_Data!D36</f>
        <v>22</v>
      </c>
      <c r="D54">
        <f>Raw_Data!J36</f>
        <v>31.5</v>
      </c>
      <c r="E54">
        <f>Raw_Data!K36</f>
        <v>27.8</v>
      </c>
      <c r="F54">
        <f>Raw_Data!L36</f>
        <v>27</v>
      </c>
      <c r="G54">
        <f>Raw_Data!M36</f>
        <v>26.2</v>
      </c>
      <c r="H54">
        <f>Raw_Data!N36</f>
        <v>24.5</v>
      </c>
    </row>
    <row r="55" spans="1:8" x14ac:dyDescent="0.25">
      <c r="A55" t="str">
        <f>Raw_Data!B36</f>
        <v>N</v>
      </c>
      <c r="B55">
        <f>Raw_Data!C37</f>
        <v>36.799999999999997</v>
      </c>
      <c r="C55">
        <f>Raw_Data!D37</f>
        <v>22</v>
      </c>
      <c r="D55">
        <f>Raw_Data!J37</f>
        <v>32.700000000000003</v>
      </c>
      <c r="E55">
        <f>Raw_Data!K37</f>
        <v>29.2</v>
      </c>
      <c r="F55">
        <f>Raw_Data!L37</f>
        <v>27</v>
      </c>
      <c r="G55">
        <f>Raw_Data!M37</f>
        <v>25.8</v>
      </c>
      <c r="H55">
        <f>Raw_Data!N37</f>
        <v>24.3</v>
      </c>
    </row>
    <row r="56" spans="1:8" x14ac:dyDescent="0.25">
      <c r="A56" t="str">
        <f>Raw_Data!B37</f>
        <v>N</v>
      </c>
      <c r="B56">
        <f>Raw_Data!C38</f>
        <v>36.6</v>
      </c>
      <c r="C56">
        <f>Raw_Data!D38</f>
        <v>22</v>
      </c>
      <c r="D56">
        <f>Raw_Data!J38</f>
        <v>31.2</v>
      </c>
      <c r="E56">
        <f>Raw_Data!K38</f>
        <v>27</v>
      </c>
      <c r="F56">
        <f>Raw_Data!L38</f>
        <v>26.5</v>
      </c>
      <c r="G56">
        <f>Raw_Data!M38</f>
        <v>26</v>
      </c>
      <c r="H56">
        <f>Raw_Data!N38</f>
        <v>24.2</v>
      </c>
    </row>
    <row r="57" spans="1:8" x14ac:dyDescent="0.25">
      <c r="A57" t="str">
        <f>Raw_Data!B38</f>
        <v>N</v>
      </c>
      <c r="B57">
        <f>Raw_Data!C39</f>
        <v>36.9</v>
      </c>
      <c r="C57">
        <f>Raw_Data!D39</f>
        <v>22</v>
      </c>
      <c r="D57">
        <f>Raw_Data!J39</f>
        <v>32.4</v>
      </c>
      <c r="E57">
        <f>Raw_Data!K39</f>
        <v>28.5</v>
      </c>
      <c r="F57">
        <f>Raw_Data!L39</f>
        <v>26.8</v>
      </c>
      <c r="G57">
        <f>Raw_Data!M39</f>
        <v>26.3</v>
      </c>
      <c r="H57">
        <f>Raw_Data!N39</f>
        <v>23.5</v>
      </c>
    </row>
    <row r="58" spans="1:8" x14ac:dyDescent="0.25">
      <c r="A58" t="str">
        <f>Raw_Data!B39</f>
        <v>N</v>
      </c>
      <c r="B58">
        <f>Raw_Data!C40</f>
        <v>36.700000000000003</v>
      </c>
      <c r="C58">
        <f>Raw_Data!D40</f>
        <v>22</v>
      </c>
      <c r="D58">
        <f>Raw_Data!J40</f>
        <v>31.2</v>
      </c>
      <c r="E58">
        <f>Raw_Data!K40</f>
        <v>28.6</v>
      </c>
      <c r="F58">
        <f>Raw_Data!L40</f>
        <v>27.3</v>
      </c>
      <c r="G58">
        <f>Raw_Data!M40</f>
        <v>27</v>
      </c>
      <c r="H58">
        <f>Raw_Data!N40</f>
        <v>24.2</v>
      </c>
    </row>
    <row r="59" spans="1:8" x14ac:dyDescent="0.25">
      <c r="A59" t="str">
        <f>Raw_Data!B40</f>
        <v>N</v>
      </c>
      <c r="B59">
        <f>Raw_Data!C41</f>
        <v>36.799999999999997</v>
      </c>
      <c r="C59">
        <f>Raw_Data!D41</f>
        <v>22</v>
      </c>
      <c r="D59">
        <f>Raw_Data!J41</f>
        <v>31.3</v>
      </c>
      <c r="E59">
        <f>Raw_Data!K41</f>
        <v>28.5</v>
      </c>
      <c r="F59">
        <f>Raw_Data!L41</f>
        <v>27.5</v>
      </c>
      <c r="G59">
        <f>Raw_Data!M41</f>
        <v>27</v>
      </c>
      <c r="H59">
        <f>Raw_Data!N41</f>
        <v>24.5</v>
      </c>
    </row>
    <row r="60" spans="1:8" x14ac:dyDescent="0.25">
      <c r="A60" t="str">
        <f>Raw_Data!B41</f>
        <v>Y</v>
      </c>
      <c r="B60">
        <f>Raw_Data!C42</f>
        <v>36.799999999999997</v>
      </c>
      <c r="C60">
        <f>Raw_Data!D42</f>
        <v>22</v>
      </c>
      <c r="D60">
        <f>Raw_Data!J42</f>
        <v>31.1</v>
      </c>
      <c r="E60">
        <f>Raw_Data!K42</f>
        <v>28.8</v>
      </c>
      <c r="F60">
        <f>Raw_Data!L42</f>
        <v>27.8</v>
      </c>
      <c r="G60">
        <f>Raw_Data!M42</f>
        <v>27.2</v>
      </c>
      <c r="H60">
        <f>Raw_Data!N42</f>
        <v>24.8</v>
      </c>
    </row>
    <row r="61" spans="1:8" x14ac:dyDescent="0.25">
      <c r="A61" t="str">
        <f>Raw_Data!B42</f>
        <v>N</v>
      </c>
      <c r="B61">
        <f>Raw_Data!C43</f>
        <v>36.9</v>
      </c>
      <c r="C61">
        <f>Raw_Data!D43</f>
        <v>22</v>
      </c>
      <c r="D61">
        <f>Raw_Data!J43</f>
        <v>31.5</v>
      </c>
      <c r="E61">
        <f>Raw_Data!K43</f>
        <v>30</v>
      </c>
      <c r="F61">
        <f>Raw_Data!L43</f>
        <v>28.6</v>
      </c>
      <c r="G61">
        <f>Raw_Data!M43</f>
        <v>27.8</v>
      </c>
      <c r="H61">
        <f>Raw_Data!N43</f>
        <v>25</v>
      </c>
    </row>
    <row r="62" spans="1:8" x14ac:dyDescent="0.25">
      <c r="A62" t="str">
        <f>Raw_Data!B43</f>
        <v>Y</v>
      </c>
      <c r="B62">
        <f>Raw_Data!C44</f>
        <v>36.9</v>
      </c>
      <c r="C62">
        <f>Raw_Data!D44</f>
        <v>22</v>
      </c>
      <c r="D62">
        <f>Raw_Data!J44</f>
        <v>31.8</v>
      </c>
      <c r="E62">
        <f>Raw_Data!K44</f>
        <v>30.2</v>
      </c>
      <c r="F62">
        <f>Raw_Data!L44</f>
        <v>28.8</v>
      </c>
      <c r="G62">
        <f>Raw_Data!M44</f>
        <v>28</v>
      </c>
      <c r="H62">
        <f>Raw_Data!N44</f>
        <v>26.3</v>
      </c>
    </row>
    <row r="63" spans="1:8" x14ac:dyDescent="0.25">
      <c r="C63" t="s">
        <v>58</v>
      </c>
      <c r="D63">
        <f>AVERAGEIF(A53:A62,"=Y",D53:D62)</f>
        <v>31.466666666666669</v>
      </c>
      <c r="E63">
        <f>AVERAGEIF(A53:A62,"=Y",E53:E62)</f>
        <v>28.933333333333334</v>
      </c>
      <c r="F63">
        <f>AVERAGEIF(A53:A62,"=Y",F53:F62)</f>
        <v>27.866666666666664</v>
      </c>
      <c r="G63">
        <f>AVERAGEIF(A53:A62,"=Y",G53:G62)</f>
        <v>27.133333333333336</v>
      </c>
      <c r="H63">
        <f>AVERAGEIF(A53:A62,"=Y",H53:H62)</f>
        <v>25.2</v>
      </c>
    </row>
    <row r="64" spans="1:8" x14ac:dyDescent="0.25">
      <c r="C64" t="s">
        <v>17</v>
      </c>
      <c r="D64">
        <f>_xlfn.STDEV.S(D54,D60,D62)</f>
        <v>0.35118845842842422</v>
      </c>
      <c r="E64">
        <f>_xlfn.STDEV.S(E54,E60,E62)</f>
        <v>1.2055427546683408</v>
      </c>
      <c r="F64">
        <f>_xlfn.STDEV.S(F54,F60,F62)</f>
        <v>0.90184995056457917</v>
      </c>
      <c r="G64">
        <f>_xlfn.STDEV.S(G54,G60,G62)</f>
        <v>0.90184995056457917</v>
      </c>
      <c r="H64">
        <f>_xlfn.STDEV.S(H54,H60,H62)</f>
        <v>0.96436507609929578</v>
      </c>
    </row>
    <row r="65" spans="1:8" x14ac:dyDescent="0.25">
      <c r="C65" t="s">
        <v>59</v>
      </c>
      <c r="D65">
        <f>AVERAGEIF(A53:A62,"=N",D53:D62)</f>
        <v>31.642857142857142</v>
      </c>
      <c r="E65">
        <f>AVERAGEIF(A53:A62,"=N",E53:E62)</f>
        <v>28.428571428571427</v>
      </c>
      <c r="F65">
        <f>AVERAGEIF(A53:A62,"=N",F53:F62)</f>
        <v>27.214285714285715</v>
      </c>
      <c r="G65">
        <f>AVERAGEIF(A53:A62,"=N",G53:G62)</f>
        <v>26.557142857142857</v>
      </c>
      <c r="H65">
        <f>AVERAGEIF(A53:A62,"=N",H53:H62)</f>
        <v>24.24285714285714</v>
      </c>
    </row>
    <row r="66" spans="1:8" x14ac:dyDescent="0.25">
      <c r="C66" t="s">
        <v>17</v>
      </c>
      <c r="D66">
        <f>_xlfn.STDEV.S(D53,D55,D56,D57,D58,D59,D61)</f>
        <v>0.63471028261494533</v>
      </c>
      <c r="E66">
        <f>_xlfn.STDEV.S(E53,E55,E56,E57,E58,E59,E61)</f>
        <v>1.0531132982958764</v>
      </c>
      <c r="F66">
        <f>_xlfn.STDEV.S(F53,F55,F56,F57,F58,F59,F61)</f>
        <v>0.69624845045565831</v>
      </c>
      <c r="G66">
        <f>_xlfn.STDEV.S(G53,G55,G56,G57,G58,G59,G61)</f>
        <v>0.72997064520235533</v>
      </c>
      <c r="H66">
        <f>_xlfn.STDEV.S(H53,H55,H56,H57,H58,H59,H61)</f>
        <v>0.45773770821706344</v>
      </c>
    </row>
    <row r="68" spans="1:8" x14ac:dyDescent="0.25">
      <c r="B68" t="str">
        <f t="shared" ref="B68:H68" si="3">B52</f>
        <v>body temp</v>
      </c>
      <c r="C68" t="str">
        <f t="shared" si="3"/>
        <v>ambient temp</v>
      </c>
      <c r="D68" t="str">
        <f t="shared" si="3"/>
        <v>1M</v>
      </c>
      <c r="E68" t="str">
        <f t="shared" si="3"/>
        <v>2M</v>
      </c>
      <c r="F68" t="str">
        <f t="shared" si="3"/>
        <v>3M</v>
      </c>
      <c r="G68" t="str">
        <f t="shared" si="3"/>
        <v>4M</v>
      </c>
      <c r="H68" t="str">
        <f t="shared" si="3"/>
        <v>5M</v>
      </c>
    </row>
    <row r="69" spans="1:8" x14ac:dyDescent="0.25">
      <c r="A69" t="str">
        <f>Raw_Data!B44</f>
        <v>N</v>
      </c>
      <c r="B69">
        <f>Raw_Data!C45</f>
        <v>36.9</v>
      </c>
      <c r="C69">
        <f>Raw_Data!D45</f>
        <v>24</v>
      </c>
      <c r="D69">
        <f>Raw_Data!J45</f>
        <v>32</v>
      </c>
      <c r="E69">
        <f>Raw_Data!K45</f>
        <v>30.5</v>
      </c>
      <c r="F69">
        <f>Raw_Data!L45</f>
        <v>28.2</v>
      </c>
      <c r="G69">
        <f>Raw_Data!M45</f>
        <v>27.9</v>
      </c>
      <c r="H69">
        <f>Raw_Data!N45</f>
        <v>25</v>
      </c>
    </row>
    <row r="70" spans="1:8" x14ac:dyDescent="0.25">
      <c r="A70" t="str">
        <f>Raw_Data!B45</f>
        <v>Y</v>
      </c>
      <c r="B70">
        <f>Raw_Data!C46</f>
        <v>36.9</v>
      </c>
      <c r="C70">
        <f>Raw_Data!D46</f>
        <v>24</v>
      </c>
      <c r="D70">
        <f>Raw_Data!J46</f>
        <v>33</v>
      </c>
      <c r="E70">
        <f>Raw_Data!K46</f>
        <v>30.8</v>
      </c>
      <c r="F70">
        <f>Raw_Data!L46</f>
        <v>28.5</v>
      </c>
      <c r="G70">
        <f>Raw_Data!M46</f>
        <v>28.2</v>
      </c>
      <c r="H70">
        <f>Raw_Data!N46</f>
        <v>26</v>
      </c>
    </row>
    <row r="71" spans="1:8" x14ac:dyDescent="0.25">
      <c r="A71" t="str">
        <f>Raw_Data!B46</f>
        <v>N</v>
      </c>
      <c r="B71">
        <f>Raw_Data!C47</f>
        <v>36.700000000000003</v>
      </c>
      <c r="C71">
        <f>Raw_Data!D47</f>
        <v>24</v>
      </c>
      <c r="D71">
        <f>Raw_Data!J47</f>
        <v>35</v>
      </c>
      <c r="E71">
        <f>Raw_Data!K47</f>
        <v>32.200000000000003</v>
      </c>
      <c r="F71">
        <f>Raw_Data!L47</f>
        <v>29</v>
      </c>
      <c r="G71">
        <f>Raw_Data!M47</f>
        <v>27.5</v>
      </c>
      <c r="H71">
        <f>Raw_Data!N47</f>
        <v>27.2</v>
      </c>
    </row>
    <row r="72" spans="1:8" x14ac:dyDescent="0.25">
      <c r="A72" t="str">
        <f>Raw_Data!B47</f>
        <v>N</v>
      </c>
      <c r="B72">
        <f>Raw_Data!C48</f>
        <v>36.5</v>
      </c>
      <c r="C72">
        <f>Raw_Data!D48</f>
        <v>24</v>
      </c>
      <c r="D72">
        <f>Raw_Data!J48</f>
        <v>33</v>
      </c>
      <c r="E72">
        <f>Raw_Data!K48</f>
        <v>32.4</v>
      </c>
      <c r="F72">
        <f>Raw_Data!L48</f>
        <v>29.5</v>
      </c>
      <c r="G72">
        <f>Raw_Data!M48</f>
        <v>27.5</v>
      </c>
      <c r="H72">
        <f>Raw_Data!N48</f>
        <v>26.2</v>
      </c>
    </row>
    <row r="73" spans="1:8" x14ac:dyDescent="0.25">
      <c r="A73" t="str">
        <f>Raw_Data!B48</f>
        <v>Y</v>
      </c>
      <c r="B73">
        <f>Raw_Data!C49</f>
        <v>36.5</v>
      </c>
      <c r="C73">
        <f>Raw_Data!D49</f>
        <v>24</v>
      </c>
      <c r="D73">
        <f>Raw_Data!J49</f>
        <v>33.299999999999997</v>
      </c>
      <c r="E73">
        <f>Raw_Data!K49</f>
        <v>32.6</v>
      </c>
      <c r="F73">
        <f>Raw_Data!L49</f>
        <v>29.8</v>
      </c>
      <c r="G73">
        <f>Raw_Data!M49</f>
        <v>27.8</v>
      </c>
      <c r="H73">
        <f>Raw_Data!N49</f>
        <v>26.5</v>
      </c>
    </row>
    <row r="74" spans="1:8" x14ac:dyDescent="0.25">
      <c r="A74" t="str">
        <f>Raw_Data!B49</f>
        <v>N</v>
      </c>
      <c r="B74">
        <f>Raw_Data!C50</f>
        <v>36.9</v>
      </c>
      <c r="C74">
        <f>Raw_Data!D50</f>
        <v>24</v>
      </c>
      <c r="D74">
        <f>Raw_Data!J50</f>
        <v>31.5</v>
      </c>
      <c r="E74">
        <f>Raw_Data!K50</f>
        <v>30.5</v>
      </c>
      <c r="F74">
        <f>Raw_Data!L50</f>
        <v>30</v>
      </c>
      <c r="G74">
        <f>Raw_Data!M50</f>
        <v>28.8</v>
      </c>
      <c r="H74">
        <f>Raw_Data!N50</f>
        <v>27.5</v>
      </c>
    </row>
    <row r="75" spans="1:8" x14ac:dyDescent="0.25">
      <c r="A75" t="str">
        <f>Raw_Data!B50</f>
        <v>Y</v>
      </c>
      <c r="B75">
        <f>Raw_Data!C51</f>
        <v>36.9</v>
      </c>
      <c r="C75">
        <f>Raw_Data!D51</f>
        <v>24</v>
      </c>
      <c r="D75">
        <f>Raw_Data!J51</f>
        <v>32.299999999999997</v>
      </c>
      <c r="E75">
        <f>Raw_Data!K51</f>
        <v>30.8</v>
      </c>
      <c r="F75">
        <f>Raw_Data!L51</f>
        <v>30.2</v>
      </c>
      <c r="G75">
        <f>Raw_Data!M51</f>
        <v>29</v>
      </c>
      <c r="H75">
        <f>Raw_Data!N51</f>
        <v>27.8</v>
      </c>
    </row>
    <row r="76" spans="1:8" x14ac:dyDescent="0.25">
      <c r="A76" t="str">
        <f>Raw_Data!B51</f>
        <v>N</v>
      </c>
      <c r="B76">
        <f>Raw_Data!C52</f>
        <v>36.9</v>
      </c>
      <c r="C76">
        <f>Raw_Data!D52</f>
        <v>24</v>
      </c>
      <c r="D76">
        <f>Raw_Data!J52</f>
        <v>32.799999999999997</v>
      </c>
      <c r="E76">
        <f>Raw_Data!K52</f>
        <v>32.200000000000003</v>
      </c>
      <c r="F76">
        <f>Raw_Data!L52</f>
        <v>30.5</v>
      </c>
      <c r="G76">
        <f>Raw_Data!M52</f>
        <v>28.5</v>
      </c>
      <c r="H76">
        <f>Raw_Data!N52</f>
        <v>28</v>
      </c>
    </row>
    <row r="77" spans="1:8" x14ac:dyDescent="0.25">
      <c r="A77" t="str">
        <f>Raw_Data!B52</f>
        <v>Y</v>
      </c>
      <c r="B77">
        <f>Raw_Data!C53</f>
        <v>36.9</v>
      </c>
      <c r="C77">
        <f>Raw_Data!D53</f>
        <v>24</v>
      </c>
      <c r="D77">
        <f>Raw_Data!J53</f>
        <v>32.799999999999997</v>
      </c>
      <c r="E77">
        <f>Raw_Data!K53</f>
        <v>32.5</v>
      </c>
      <c r="F77">
        <f>Raw_Data!L53</f>
        <v>30.9</v>
      </c>
      <c r="G77">
        <f>Raw_Data!M53</f>
        <v>28.7</v>
      </c>
      <c r="H77">
        <f>Raw_Data!N53</f>
        <v>28.1</v>
      </c>
    </row>
    <row r="78" spans="1:8" x14ac:dyDescent="0.25">
      <c r="A78" t="str">
        <f>Raw_Data!B53</f>
        <v>N</v>
      </c>
      <c r="B78">
        <f>Raw_Data!C54</f>
        <v>36.6</v>
      </c>
      <c r="C78">
        <f>Raw_Data!D54</f>
        <v>24</v>
      </c>
      <c r="D78">
        <f>Raw_Data!J54</f>
        <v>32.6</v>
      </c>
      <c r="E78">
        <f>Raw_Data!K54</f>
        <v>32.200000000000003</v>
      </c>
      <c r="F78">
        <f>Raw_Data!L54</f>
        <v>30.5</v>
      </c>
      <c r="G78">
        <f>Raw_Data!M54</f>
        <v>28.5</v>
      </c>
      <c r="H78">
        <f>Raw_Data!N54</f>
        <v>28.2</v>
      </c>
    </row>
    <row r="79" spans="1:8" x14ac:dyDescent="0.25">
      <c r="A79" t="str">
        <f>Raw_Data!B54</f>
        <v>N</v>
      </c>
      <c r="B79">
        <f>Raw_Data!C55</f>
        <v>36.799999999999997</v>
      </c>
      <c r="C79">
        <f>Raw_Data!D55</f>
        <v>24</v>
      </c>
      <c r="D79">
        <f>Raw_Data!J55</f>
        <v>31.5</v>
      </c>
      <c r="E79">
        <f>Raw_Data!K55</f>
        <v>30</v>
      </c>
      <c r="F79">
        <f>Raw_Data!L55</f>
        <v>29.7</v>
      </c>
      <c r="G79">
        <f>Raw_Data!M55</f>
        <v>28</v>
      </c>
      <c r="H79">
        <f>Raw_Data!N55</f>
        <v>27</v>
      </c>
    </row>
    <row r="80" spans="1:8" x14ac:dyDescent="0.25">
      <c r="A80" t="str">
        <f>Raw_Data!B55</f>
        <v>Y</v>
      </c>
      <c r="B80">
        <f>Raw_Data!C56</f>
        <v>36.799999999999997</v>
      </c>
      <c r="C80">
        <f>Raw_Data!D56</f>
        <v>24</v>
      </c>
      <c r="D80">
        <f>Raw_Data!J56</f>
        <v>32.5</v>
      </c>
      <c r="E80">
        <f>Raw_Data!K56</f>
        <v>30.4</v>
      </c>
      <c r="F80">
        <f>Raw_Data!L56</f>
        <v>30</v>
      </c>
      <c r="G80">
        <f>Raw_Data!M56</f>
        <v>28.3</v>
      </c>
      <c r="H80">
        <f>Raw_Data!N56</f>
        <v>27</v>
      </c>
    </row>
    <row r="81" spans="1:8" x14ac:dyDescent="0.25">
      <c r="A81" t="str">
        <f>Raw_Data!B56</f>
        <v>N</v>
      </c>
      <c r="B81">
        <f>Raw_Data!C57</f>
        <v>36.9</v>
      </c>
      <c r="C81">
        <f>Raw_Data!D57</f>
        <v>24</v>
      </c>
      <c r="D81">
        <f>Raw_Data!J57</f>
        <v>33</v>
      </c>
      <c r="E81">
        <f>Raw_Data!K57</f>
        <v>30.4</v>
      </c>
      <c r="F81">
        <f>Raw_Data!L57</f>
        <v>29.2</v>
      </c>
      <c r="G81">
        <f>Raw_Data!M57</f>
        <v>27.5</v>
      </c>
      <c r="H81">
        <f>Raw_Data!N57</f>
        <v>27</v>
      </c>
    </row>
    <row r="82" spans="1:8" x14ac:dyDescent="0.25">
      <c r="C82" t="s">
        <v>58</v>
      </c>
      <c r="D82">
        <f>AVERAGEIF(A69:A81,"=Y",D69:D81)</f>
        <v>32.779999999999994</v>
      </c>
      <c r="E82">
        <f>AVERAGEIF(A69:A81,"=Y",E69:E81)</f>
        <v>31.419999999999998</v>
      </c>
      <c r="F82">
        <f>AVERAGEIF(A69:A81,"=Y",F69:F81)</f>
        <v>29.880000000000003</v>
      </c>
      <c r="G82">
        <f>AVERAGEIF(A69:A81,"=Y",G69:G81)</f>
        <v>28.4</v>
      </c>
      <c r="H82">
        <f>AVERAGEIF(A69:A81,"=Y",H69:H81)</f>
        <v>27.080000000000002</v>
      </c>
    </row>
    <row r="83" spans="1:8" x14ac:dyDescent="0.25">
      <c r="C83" t="s">
        <v>17</v>
      </c>
      <c r="D83">
        <f>_xlfn.STDEV.S(D70,D73,D75,D77,D80)</f>
        <v>0.39623225512317889</v>
      </c>
      <c r="E83">
        <f>_xlfn.STDEV.S(E70,E73,E75,E77,E80)</f>
        <v>1.0449880382090511</v>
      </c>
      <c r="F83">
        <f>_xlfn.STDEV.S(F70,F73,F75,F77,F80)</f>
        <v>0.87578536183245204</v>
      </c>
      <c r="G83">
        <f>_xlfn.STDEV.S(G70,G73,G75,G77,G80)</f>
        <v>0.4636809247747849</v>
      </c>
      <c r="H83">
        <f>_xlfn.STDEV.S(H70,H73,H75,H77,H80)</f>
        <v>0.87578536183245326</v>
      </c>
    </row>
    <row r="84" spans="1:8" x14ac:dyDescent="0.25">
      <c r="C84" t="s">
        <v>59</v>
      </c>
      <c r="D84">
        <f>AVERAGEIF(A69:A81,"=N",D69:D81)</f>
        <v>32.674999999999997</v>
      </c>
      <c r="E84">
        <f>AVERAGEIF(A69:A81,"=N",E69:E81)</f>
        <v>31.3</v>
      </c>
      <c r="F84">
        <f>AVERAGEIF(A69:A81,"=N",F69:F81)</f>
        <v>29.574999999999996</v>
      </c>
      <c r="G84">
        <f>AVERAGEIF(A69:A81,"=N",G69:G81)</f>
        <v>28.024999999999999</v>
      </c>
      <c r="H84">
        <f>AVERAGEIF(A69:A81,"=N",H69:H81)</f>
        <v>27.012499999999999</v>
      </c>
    </row>
    <row r="85" spans="1:8" x14ac:dyDescent="0.25">
      <c r="C85" t="s">
        <v>17</v>
      </c>
      <c r="D85">
        <f>_xlfn.STDEV.S(D69,D71,D72,D74,D76,D78,D79,D81)</f>
        <v>1.1247221879201992</v>
      </c>
      <c r="E85">
        <f>_xlfn.STDEV.S(E69,E71,E72,E74,E76,E78,E79,E81)</f>
        <v>1.0295630140987011</v>
      </c>
      <c r="F85">
        <f>_xlfn.STDEV.S(F69,F71,F72,F74,F76,F78,F79,F81)</f>
        <v>0.78148210837759169</v>
      </c>
      <c r="G85">
        <f>_xlfn.STDEV.S(G69,G71,G72,G74,G76,G78,G79,G81)</f>
        <v>0.52030211004212346</v>
      </c>
      <c r="H85">
        <f>_xlfn.STDEV.S(H69,H71,H72,H74,H76,H78,H79,H81)</f>
        <v>1.0260012531320666</v>
      </c>
    </row>
    <row r="87" spans="1:8" x14ac:dyDescent="0.25">
      <c r="B87" t="str">
        <f t="shared" ref="B87:H87" si="4">B68</f>
        <v>body temp</v>
      </c>
      <c r="C87" t="str">
        <f t="shared" si="4"/>
        <v>ambient temp</v>
      </c>
      <c r="D87" t="str">
        <f t="shared" si="4"/>
        <v>1M</v>
      </c>
      <c r="E87" t="str">
        <f t="shared" si="4"/>
        <v>2M</v>
      </c>
      <c r="F87" t="str">
        <f t="shared" si="4"/>
        <v>3M</v>
      </c>
      <c r="G87" t="str">
        <f t="shared" si="4"/>
        <v>4M</v>
      </c>
      <c r="H87" t="str">
        <f t="shared" si="4"/>
        <v>5M</v>
      </c>
    </row>
    <row r="88" spans="1:8" x14ac:dyDescent="0.25">
      <c r="A88" t="str">
        <f>Raw_Data!B57</f>
        <v>N</v>
      </c>
      <c r="B88">
        <f>Raw_Data!C58</f>
        <v>36.700000000000003</v>
      </c>
      <c r="C88">
        <f>Raw_Data!D58</f>
        <v>25</v>
      </c>
      <c r="D88">
        <f>Raw_Data!J58</f>
        <v>32</v>
      </c>
      <c r="E88">
        <f>Raw_Data!K58</f>
        <v>30.1</v>
      </c>
      <c r="F88">
        <f>Raw_Data!L58</f>
        <v>28.8</v>
      </c>
      <c r="G88">
        <f>Raw_Data!M58</f>
        <v>28</v>
      </c>
      <c r="H88">
        <f>Raw_Data!N58</f>
        <v>26.2</v>
      </c>
    </row>
    <row r="89" spans="1:8" x14ac:dyDescent="0.25">
      <c r="A89" t="str">
        <f>Raw_Data!B58</f>
        <v>N</v>
      </c>
      <c r="B89">
        <f>Raw_Data!C59</f>
        <v>36.799999999999997</v>
      </c>
      <c r="C89">
        <f>Raw_Data!D59</f>
        <v>25</v>
      </c>
      <c r="D89">
        <f>Raw_Data!J59</f>
        <v>32.6</v>
      </c>
      <c r="E89">
        <f>Raw_Data!K59</f>
        <v>30.1</v>
      </c>
      <c r="F89">
        <f>Raw_Data!L59</f>
        <v>29</v>
      </c>
      <c r="G89">
        <f>Raw_Data!M59</f>
        <v>28.5</v>
      </c>
      <c r="H89">
        <f>Raw_Data!N59</f>
        <v>27.2</v>
      </c>
    </row>
    <row r="90" spans="1:8" x14ac:dyDescent="0.25">
      <c r="A90" t="str">
        <f>Raw_Data!B59</f>
        <v>Y</v>
      </c>
      <c r="B90">
        <f>Raw_Data!C60</f>
        <v>36.799999999999997</v>
      </c>
      <c r="C90">
        <f>Raw_Data!D60</f>
        <v>25</v>
      </c>
      <c r="D90">
        <f>Raw_Data!J60</f>
        <v>33.1</v>
      </c>
      <c r="E90">
        <f>Raw_Data!K60</f>
        <v>30.6</v>
      </c>
      <c r="F90">
        <f>Raw_Data!L60</f>
        <v>29.5</v>
      </c>
      <c r="G90">
        <f>Raw_Data!M60</f>
        <v>28.5</v>
      </c>
      <c r="H90">
        <f>Raw_Data!N60</f>
        <v>27.4</v>
      </c>
    </row>
    <row r="91" spans="1:8" x14ac:dyDescent="0.25">
      <c r="A91" t="str">
        <f>Raw_Data!B60</f>
        <v>N</v>
      </c>
      <c r="B91">
        <f>Raw_Data!C61</f>
        <v>36.9</v>
      </c>
      <c r="C91">
        <f>Raw_Data!D61</f>
        <v>25</v>
      </c>
      <c r="D91">
        <f>Raw_Data!J61</f>
        <v>32.200000000000003</v>
      </c>
      <c r="E91">
        <f>Raw_Data!K61</f>
        <v>30.5</v>
      </c>
      <c r="F91">
        <f>Raw_Data!L61</f>
        <v>29.8</v>
      </c>
      <c r="G91">
        <f>Raw_Data!M61</f>
        <v>29</v>
      </c>
      <c r="H91">
        <f>Raw_Data!N61</f>
        <v>28</v>
      </c>
    </row>
    <row r="92" spans="1:8" x14ac:dyDescent="0.25">
      <c r="A92" t="str">
        <f>Raw_Data!B61</f>
        <v>Y</v>
      </c>
      <c r="B92">
        <f>Raw_Data!C62</f>
        <v>36.9</v>
      </c>
      <c r="C92">
        <f>Raw_Data!D62</f>
        <v>25</v>
      </c>
      <c r="D92">
        <f>Raw_Data!J62</f>
        <v>32.5</v>
      </c>
      <c r="E92">
        <f>Raw_Data!K62</f>
        <v>30.7</v>
      </c>
      <c r="F92">
        <f>Raw_Data!L62</f>
        <v>30.1</v>
      </c>
      <c r="G92">
        <f>Raw_Data!M62</f>
        <v>29.3</v>
      </c>
      <c r="H92">
        <f>Raw_Data!N62</f>
        <v>28</v>
      </c>
    </row>
    <row r="93" spans="1:8" x14ac:dyDescent="0.25">
      <c r="A93" t="str">
        <f>Raw_Data!B62</f>
        <v>N</v>
      </c>
      <c r="B93">
        <f>Raw_Data!C63</f>
        <v>36.9</v>
      </c>
      <c r="C93">
        <f>Raw_Data!D63</f>
        <v>25</v>
      </c>
      <c r="D93">
        <f>Raw_Data!J63</f>
        <v>33.1</v>
      </c>
      <c r="E93">
        <f>Raw_Data!K63</f>
        <v>31.5</v>
      </c>
      <c r="F93">
        <f>Raw_Data!L63</f>
        <v>30.6</v>
      </c>
      <c r="G93">
        <f>Raw_Data!M63</f>
        <v>29.6</v>
      </c>
      <c r="H93">
        <f>Raw_Data!N63</f>
        <v>28.3</v>
      </c>
    </row>
    <row r="94" spans="1:8" x14ac:dyDescent="0.25">
      <c r="A94" t="str">
        <f>Raw_Data!B63</f>
        <v>N</v>
      </c>
      <c r="B94">
        <f>Raw_Data!C64</f>
        <v>36.6</v>
      </c>
      <c r="C94">
        <f>Raw_Data!D64</f>
        <v>25</v>
      </c>
      <c r="D94">
        <f>Raw_Data!J64</f>
        <v>32.700000000000003</v>
      </c>
      <c r="E94">
        <f>Raw_Data!K64</f>
        <v>31.1</v>
      </c>
      <c r="F94">
        <f>Raw_Data!L64</f>
        <v>30.4</v>
      </c>
      <c r="G94">
        <f>Raw_Data!M64</f>
        <v>29.1</v>
      </c>
      <c r="H94">
        <f>Raw_Data!N64</f>
        <v>28</v>
      </c>
    </row>
    <row r="95" spans="1:8" x14ac:dyDescent="0.25">
      <c r="A95" t="str">
        <f>Raw_Data!B64</f>
        <v>Y</v>
      </c>
      <c r="B95">
        <f>Raw_Data!C65</f>
        <v>36.6</v>
      </c>
      <c r="C95">
        <f>Raw_Data!D65</f>
        <v>25</v>
      </c>
      <c r="D95">
        <f>Raw_Data!J65</f>
        <v>32.700000000000003</v>
      </c>
      <c r="E95">
        <f>Raw_Data!K65</f>
        <v>31.4</v>
      </c>
      <c r="F95">
        <f>Raw_Data!L65</f>
        <v>30.6</v>
      </c>
      <c r="G95">
        <f>Raw_Data!M65</f>
        <v>29.4</v>
      </c>
      <c r="H95">
        <f>Raw_Data!N65</f>
        <v>28.3</v>
      </c>
    </row>
    <row r="96" spans="1:8" x14ac:dyDescent="0.25">
      <c r="A96" t="str">
        <f>Raw_Data!B65</f>
        <v>N</v>
      </c>
      <c r="B96">
        <f>Raw_Data!C66</f>
        <v>36.700000000000003</v>
      </c>
      <c r="C96">
        <f>Raw_Data!D66</f>
        <v>25</v>
      </c>
      <c r="D96">
        <f>Raw_Data!J66</f>
        <v>33.200000000000003</v>
      </c>
      <c r="E96">
        <f>Raw_Data!K66</f>
        <v>31.1</v>
      </c>
      <c r="F96">
        <f>Raw_Data!L66</f>
        <v>30</v>
      </c>
      <c r="G96">
        <f>Raw_Data!M66</f>
        <v>29.6</v>
      </c>
      <c r="H96">
        <f>Raw_Data!N66</f>
        <v>28</v>
      </c>
    </row>
    <row r="97" spans="1:8" x14ac:dyDescent="0.25">
      <c r="A97" t="str">
        <f>Raw_Data!B66</f>
        <v>N</v>
      </c>
      <c r="B97">
        <f>Raw_Data!C67</f>
        <v>36.9</v>
      </c>
      <c r="C97">
        <f>Raw_Data!D67</f>
        <v>25</v>
      </c>
      <c r="D97">
        <f>Raw_Data!J67</f>
        <v>33</v>
      </c>
      <c r="E97">
        <f>Raw_Data!K67</f>
        <v>31.7</v>
      </c>
      <c r="F97">
        <f>Raw_Data!L67</f>
        <v>30</v>
      </c>
      <c r="G97">
        <f>Raw_Data!M67</f>
        <v>29</v>
      </c>
      <c r="H97">
        <f>Raw_Data!N67</f>
        <v>28</v>
      </c>
    </row>
    <row r="98" spans="1:8" x14ac:dyDescent="0.25">
      <c r="A98" t="str">
        <f>Raw_Data!B67</f>
        <v>N</v>
      </c>
      <c r="B98">
        <f>Raw_Data!C68</f>
        <v>36.799999999999997</v>
      </c>
      <c r="C98">
        <f>Raw_Data!D68</f>
        <v>25</v>
      </c>
      <c r="D98">
        <f>Raw_Data!J68</f>
        <v>33</v>
      </c>
      <c r="E98">
        <f>Raw_Data!K68</f>
        <v>31.5</v>
      </c>
      <c r="F98">
        <f>Raw_Data!L68</f>
        <v>30.5</v>
      </c>
      <c r="G98">
        <f>Raw_Data!M68</f>
        <v>28.8</v>
      </c>
      <c r="H98">
        <f>Raw_Data!N68</f>
        <v>27.5</v>
      </c>
    </row>
    <row r="99" spans="1:8" x14ac:dyDescent="0.25">
      <c r="A99" t="str">
        <f>Raw_Data!B68</f>
        <v>N</v>
      </c>
      <c r="B99">
        <f>Raw_Data!C69</f>
        <v>36.6</v>
      </c>
      <c r="C99">
        <f>Raw_Data!D69</f>
        <v>25</v>
      </c>
      <c r="D99">
        <f>Raw_Data!J69</f>
        <v>32.6</v>
      </c>
      <c r="E99">
        <f>Raw_Data!K69</f>
        <v>30.1</v>
      </c>
      <c r="F99">
        <f>Raw_Data!L69</f>
        <v>29.3</v>
      </c>
      <c r="G99">
        <f>Raw_Data!M69</f>
        <v>28.8</v>
      </c>
      <c r="H99">
        <f>Raw_Data!N69</f>
        <v>28.5</v>
      </c>
    </row>
    <row r="100" spans="1:8" x14ac:dyDescent="0.25">
      <c r="A100" t="str">
        <f>Raw_Data!B69</f>
        <v>Y</v>
      </c>
      <c r="B100">
        <f>Raw_Data!C70</f>
        <v>36.6</v>
      </c>
      <c r="C100">
        <f>Raw_Data!D70</f>
        <v>25</v>
      </c>
      <c r="D100">
        <f>Raw_Data!J70</f>
        <v>33.200000000000003</v>
      </c>
      <c r="E100">
        <f>Raw_Data!K70</f>
        <v>30.6</v>
      </c>
      <c r="F100">
        <f>Raw_Data!L70</f>
        <v>29.3</v>
      </c>
      <c r="G100">
        <f>Raw_Data!M70</f>
        <v>28.7</v>
      </c>
      <c r="H100">
        <f>Raw_Data!N70</f>
        <v>28.8</v>
      </c>
    </row>
    <row r="101" spans="1:8" x14ac:dyDescent="0.25">
      <c r="C101" t="s">
        <v>58</v>
      </c>
      <c r="D101">
        <f>AVERAGEIF(A88:A100,"=Y",D88:D100)</f>
        <v>32.875</v>
      </c>
      <c r="E101">
        <f>AVERAGEIF(A88:A100,"=Y",E88:E100)</f>
        <v>30.824999999999996</v>
      </c>
      <c r="F101">
        <f>AVERAGEIF(A88:A100,"=Y",F88:F100)</f>
        <v>29.875</v>
      </c>
      <c r="G101">
        <f>AVERAGEIF(A88:A100,"=Y",G88:G100)</f>
        <v>28.974999999999998</v>
      </c>
      <c r="H101">
        <f>AVERAGEIF(A88:A100,"=Y",H88:H100)</f>
        <v>28.125</v>
      </c>
    </row>
    <row r="102" spans="1:8" x14ac:dyDescent="0.25">
      <c r="C102" t="s">
        <v>17</v>
      </c>
      <c r="D102">
        <f>_xlfn.STDEV.S(D90,D92,D95,D100)</f>
        <v>0.33040379335998427</v>
      </c>
      <c r="E102">
        <f>_xlfn.STDEV.S(E90,E92,E95,E100)</f>
        <v>0.38622100754188105</v>
      </c>
      <c r="F102">
        <f>_xlfn.STDEV.S(F90,F92,F95,F100)</f>
        <v>0.59090326337452836</v>
      </c>
      <c r="G102">
        <f>_xlfn.STDEV.S(G90,G92,G95,G100)</f>
        <v>0.44253060157839164</v>
      </c>
      <c r="H102">
        <f>_xlfn.STDEV.S(H90,H92,H95,H100)</f>
        <v>0.58523499553598213</v>
      </c>
    </row>
    <row r="103" spans="1:8" x14ac:dyDescent="0.25">
      <c r="C103" t="s">
        <v>59</v>
      </c>
      <c r="D103">
        <f>AVERAGEIF(A88:A100,"=N",D88:D100)</f>
        <v>32.711111111111116</v>
      </c>
      <c r="E103">
        <f>AVERAGEIF(A88:A100,"=N",E88:E100)</f>
        <v>30.855555555555554</v>
      </c>
      <c r="F103">
        <f>AVERAGEIF(A88:A100,"=N",F88:F100)</f>
        <v>29.822222222222219</v>
      </c>
      <c r="G103">
        <f>AVERAGEIF(A88:A100,"=N",G88:G100)</f>
        <v>28.93333333333333</v>
      </c>
      <c r="H103">
        <f>AVERAGEIF(A88:A100,"=N",H88:H100)</f>
        <v>27.744444444444444</v>
      </c>
    </row>
    <row r="104" spans="1:8" x14ac:dyDescent="0.25">
      <c r="C104" t="s">
        <v>17</v>
      </c>
      <c r="D104">
        <f>_xlfn.STDEV.S(D88,D89,D91,D93,D94,D96,D97,D98,D99)</f>
        <v>0.4106228331584974</v>
      </c>
      <c r="E104">
        <f>_xlfn.STDEV.S(E88,E89,E91,E93,E94,E96,E97,E98,E99)</f>
        <v>0.66164777470930636</v>
      </c>
      <c r="F104">
        <f>_xlfn.STDEV.S(F88,F89,F91,F93,F94,F96,F97,F98,F99)</f>
        <v>0.65722480510434489</v>
      </c>
      <c r="G104">
        <f>_xlfn.STDEV.S(G88,G89,G91,G93,G94,G96,G97,G98,G99)</f>
        <v>0.50249378105604503</v>
      </c>
      <c r="H104">
        <f>_xlfn.STDEV.S(H88,H89,H91,H93,H94,H96,H97,H98,H99)</f>
        <v>0.69661881813354598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E191-8607-4F31-AE16-F15CF82D225F}">
  <dimension ref="A1:O17"/>
  <sheetViews>
    <sheetView workbookViewId="0">
      <selection activeCell="K21" sqref="K21"/>
    </sheetView>
  </sheetViews>
  <sheetFormatPr defaultRowHeight="13.2" x14ac:dyDescent="0.25"/>
  <cols>
    <col min="2" max="2" width="17.44140625" customWidth="1"/>
    <col min="3" max="3" width="16.6640625" customWidth="1"/>
    <col min="4" max="4" width="17.44140625" customWidth="1"/>
    <col min="5" max="5" width="17.21875" customWidth="1"/>
    <col min="6" max="6" width="17" customWidth="1"/>
    <col min="7" max="7" width="16.6640625" customWidth="1"/>
    <col min="8" max="8" width="11.109375" customWidth="1"/>
    <col min="10" max="11" width="17.33203125" customWidth="1"/>
    <col min="12" max="12" width="17.44140625" customWidth="1"/>
    <col min="13" max="13" width="16.6640625" customWidth="1"/>
    <col min="14" max="14" width="16.77734375" customWidth="1"/>
    <col min="15" max="15" width="17.21875" customWidth="1"/>
  </cols>
  <sheetData>
    <row r="1" spans="1:15" ht="14.4" x14ac:dyDescent="0.3">
      <c r="A1" s="3" t="s">
        <v>64</v>
      </c>
      <c r="B1" s="3"/>
      <c r="C1" s="3"/>
      <c r="D1" s="3"/>
      <c r="E1" s="3"/>
      <c r="F1" s="3"/>
      <c r="I1" s="3" t="s">
        <v>65</v>
      </c>
      <c r="J1" s="3"/>
      <c r="K1" s="3"/>
    </row>
    <row r="2" spans="1:15" ht="14.4" x14ac:dyDescent="0.3">
      <c r="A2" s="3" t="str">
        <f>[1]Avarageateachdistance!A1</f>
        <v>Distance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I2" s="3" t="s">
        <v>18</v>
      </c>
      <c r="J2" s="3" t="s">
        <v>32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</row>
    <row r="3" spans="1:15" x14ac:dyDescent="0.25">
      <c r="A3">
        <v>1</v>
      </c>
      <c r="B3">
        <f>MLX_R!D16</f>
        <v>30.2</v>
      </c>
      <c r="C3">
        <f>MLX_R!D33</f>
        <v>30.925000000000001</v>
      </c>
      <c r="D3">
        <f>MLX_R!D47</f>
        <v>31.5</v>
      </c>
      <c r="E3">
        <f>MLX_R!D63</f>
        <v>31.466666666666669</v>
      </c>
      <c r="F3">
        <f>MLX_R!D82</f>
        <v>32.779999999999994</v>
      </c>
      <c r="G3">
        <f>MLX_R!D101</f>
        <v>32.875</v>
      </c>
      <c r="I3">
        <v>1</v>
      </c>
      <c r="J3">
        <f>MLX_R!D17</f>
        <v>0.79686887252546112</v>
      </c>
      <c r="K3">
        <f>MLX_R!D34</f>
        <v>0.37749172176353679</v>
      </c>
      <c r="L3">
        <f>MLX_R!D48</f>
        <v>0.19999999999999929</v>
      </c>
      <c r="M3">
        <f>MLX_R!D64</f>
        <v>0.35118845842842422</v>
      </c>
      <c r="N3">
        <f>MLX_R!D83</f>
        <v>0.39623225512317889</v>
      </c>
      <c r="O3">
        <f>MLX_R!D102</f>
        <v>0.33040379335998427</v>
      </c>
    </row>
    <row r="4" spans="1:15" x14ac:dyDescent="0.25">
      <c r="A4">
        <v>2</v>
      </c>
      <c r="B4">
        <f>MLX_R!E16</f>
        <v>27.1</v>
      </c>
      <c r="C4">
        <f>MLX_R!E33</f>
        <v>26.824999999999999</v>
      </c>
      <c r="D4">
        <f>MLX_R!E47</f>
        <v>29.099999999999998</v>
      </c>
      <c r="E4">
        <f>MLX_R!E63</f>
        <v>28.933333333333334</v>
      </c>
      <c r="F4">
        <f>MLX_R!E82</f>
        <v>31.419999999999998</v>
      </c>
      <c r="G4">
        <f>MLX_R!E101</f>
        <v>30.824999999999996</v>
      </c>
      <c r="I4">
        <v>2</v>
      </c>
      <c r="J4">
        <f>MLX_R!E17</f>
        <v>1.2942179105544787</v>
      </c>
      <c r="K4">
        <f>MLX_R!E34</f>
        <v>0.88835053141576181</v>
      </c>
      <c r="L4">
        <f>MLX_R!E48</f>
        <v>0.96436507609929578</v>
      </c>
      <c r="M4">
        <f>MLX_R!E64</f>
        <v>1.2055427546683408</v>
      </c>
      <c r="N4">
        <f>MLX_R!E83</f>
        <v>1.0449880382090511</v>
      </c>
      <c r="O4">
        <f>MLX_R!E102</f>
        <v>0.38622100754188105</v>
      </c>
    </row>
    <row r="5" spans="1:15" x14ac:dyDescent="0.25">
      <c r="A5">
        <v>3</v>
      </c>
      <c r="B5">
        <f>MLX_R!F16</f>
        <v>24.6</v>
      </c>
      <c r="C5">
        <f>MLX_R!F33</f>
        <v>25.225000000000001</v>
      </c>
      <c r="D5">
        <f>MLX_R!F47</f>
        <v>27.2</v>
      </c>
      <c r="E5">
        <f>MLX_R!F63</f>
        <v>27.866666666666664</v>
      </c>
      <c r="F5">
        <f>MLX_R!F82</f>
        <v>29.880000000000003</v>
      </c>
      <c r="G5">
        <f>MLX_R!F101</f>
        <v>29.875</v>
      </c>
      <c r="I5">
        <v>3</v>
      </c>
      <c r="J5">
        <f>MLX_R!F17</f>
        <v>0.77781745930520174</v>
      </c>
      <c r="K5">
        <f>MLX_R!F34</f>
        <v>1.00124921972504</v>
      </c>
      <c r="L5">
        <f>MLX_R!F48</f>
        <v>0.43588989435406744</v>
      </c>
      <c r="M5">
        <f>MLX_R!F64</f>
        <v>0.90184995056457917</v>
      </c>
      <c r="N5">
        <f>MLX_R!F83</f>
        <v>0.87578536183245204</v>
      </c>
      <c r="O5">
        <f>MLX_R!F102</f>
        <v>0.59090326337452836</v>
      </c>
    </row>
    <row r="6" spans="1:15" x14ac:dyDescent="0.25">
      <c r="A6">
        <v>4</v>
      </c>
      <c r="B6">
        <f>MLX_R!G16</f>
        <v>23.1</v>
      </c>
      <c r="C6">
        <f>MLX_R!G33</f>
        <v>23.55</v>
      </c>
      <c r="D6">
        <f>MLX_R!G47</f>
        <v>25.833333333333332</v>
      </c>
      <c r="E6">
        <f>MLX_R!G63</f>
        <v>27.133333333333336</v>
      </c>
      <c r="F6">
        <f>MLX_R!G82</f>
        <v>28.4</v>
      </c>
      <c r="G6">
        <f>MLX_R!G101</f>
        <v>28.974999999999998</v>
      </c>
      <c r="I6">
        <v>4</v>
      </c>
      <c r="J6">
        <f>MLX_R!G17</f>
        <v>0.54772255750516607</v>
      </c>
      <c r="K6">
        <f>MLX_R!G34</f>
        <v>1.3820274961085253</v>
      </c>
      <c r="L6">
        <f>MLX_R!G48</f>
        <v>0.65064070986477152</v>
      </c>
      <c r="M6">
        <f>MLX_R!G64</f>
        <v>0.90184995056457917</v>
      </c>
      <c r="N6">
        <f>MLX_R!G83</f>
        <v>0.4636809247747849</v>
      </c>
      <c r="O6">
        <f>MLX_R!G102</f>
        <v>0.44253060157839164</v>
      </c>
    </row>
    <row r="7" spans="1:15" x14ac:dyDescent="0.25">
      <c r="A7">
        <v>5</v>
      </c>
      <c r="B7">
        <f>MLX_R!H16</f>
        <v>22.36</v>
      </c>
      <c r="C7">
        <f>MLX_R!H33</f>
        <v>21.85</v>
      </c>
      <c r="D7">
        <f>MLX_R!H47</f>
        <v>22.833333333333332</v>
      </c>
      <c r="E7">
        <f>MLX_R!H63</f>
        <v>25.2</v>
      </c>
      <c r="F7">
        <f>MLX_R!H82</f>
        <v>27.080000000000002</v>
      </c>
      <c r="G7">
        <f>MLX_R!H101</f>
        <v>28.125</v>
      </c>
      <c r="I7">
        <v>5</v>
      </c>
      <c r="J7">
        <f>MLX_R!H17</f>
        <v>0.49799598391954947</v>
      </c>
      <c r="K7">
        <f>MLX_R!H34</f>
        <v>1.6842406795546379</v>
      </c>
      <c r="L7">
        <f>MLX_R!H48</f>
        <v>0.28867513459481292</v>
      </c>
      <c r="M7">
        <f>MLX_R!H64</f>
        <v>0.96436507609929578</v>
      </c>
      <c r="N7">
        <f>MLX_R!H83</f>
        <v>0.87578536183245326</v>
      </c>
      <c r="O7">
        <f>MLX_R!H102</f>
        <v>0.58523499553598213</v>
      </c>
    </row>
    <row r="11" spans="1:15" ht="14.4" x14ac:dyDescent="0.3">
      <c r="A11" s="3" t="s">
        <v>66</v>
      </c>
      <c r="B11" s="3"/>
      <c r="C11" s="3"/>
      <c r="D11" s="3"/>
      <c r="E11" s="3"/>
      <c r="F11" s="3"/>
      <c r="I11" s="3" t="s">
        <v>67</v>
      </c>
      <c r="J11" s="3"/>
      <c r="K11" s="3"/>
    </row>
    <row r="12" spans="1:15" ht="14.4" x14ac:dyDescent="0.3">
      <c r="A12" s="3" t="s">
        <v>18</v>
      </c>
      <c r="B12" s="3" t="s">
        <v>90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I12" s="3" t="s">
        <v>18</v>
      </c>
      <c r="J12" s="3" t="s">
        <v>32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</row>
    <row r="13" spans="1:15" x14ac:dyDescent="0.25">
      <c r="A13">
        <v>1</v>
      </c>
      <c r="B13">
        <f>MLX_R!D18</f>
        <v>30.625</v>
      </c>
      <c r="C13">
        <f>MLX_R!D35</f>
        <v>31.057142857142853</v>
      </c>
      <c r="D13">
        <f>MLX_R!D49</f>
        <v>31.1</v>
      </c>
      <c r="E13">
        <f>MLX_R!D65</f>
        <v>31.642857142857142</v>
      </c>
      <c r="F13">
        <f>MLX_R!D84</f>
        <v>32.674999999999997</v>
      </c>
      <c r="G13">
        <f>MLX_R!D103</f>
        <v>32.711111111111116</v>
      </c>
      <c r="I13">
        <v>1</v>
      </c>
      <c r="J13">
        <f>MLX_R!D19</f>
        <v>0.60415229867972875</v>
      </c>
      <c r="K13">
        <f>MLX_R!D36</f>
        <v>0.67294661218936469</v>
      </c>
      <c r="L13">
        <f>MLX_R!D50</f>
        <v>0.14142135623730964</v>
      </c>
      <c r="M13">
        <f>MLX_R!D66</f>
        <v>0.63471028261494533</v>
      </c>
      <c r="N13">
        <f>MLX_R!D85</f>
        <v>1.1247221879201992</v>
      </c>
      <c r="O13">
        <f>MLX_R!D104</f>
        <v>0.4106228331584974</v>
      </c>
    </row>
    <row r="14" spans="1:15" x14ac:dyDescent="0.25">
      <c r="A14">
        <v>2</v>
      </c>
      <c r="B14">
        <f>MLX_R!E18</f>
        <v>27.284999999999997</v>
      </c>
      <c r="C14">
        <f>MLX_R!E35</f>
        <v>27.428571428571427</v>
      </c>
      <c r="D14">
        <f>MLX_R!E49</f>
        <v>28.24</v>
      </c>
      <c r="E14">
        <f>MLX_R!E65</f>
        <v>28.428571428571427</v>
      </c>
      <c r="F14">
        <f>MLX_R!E84</f>
        <v>31.3</v>
      </c>
      <c r="G14">
        <f>MLX_R!E103</f>
        <v>30.855555555555554</v>
      </c>
      <c r="I14">
        <v>2</v>
      </c>
      <c r="J14">
        <f>MLX_R!E19</f>
        <v>1.3264668430512259</v>
      </c>
      <c r="K14">
        <f>MLX_R!E36</f>
        <v>0.84204965355234229</v>
      </c>
      <c r="L14">
        <f>MLX_R!E50</f>
        <v>1.0784247771634328</v>
      </c>
      <c r="M14">
        <f>MLX_R!E66</f>
        <v>1.0531132982958764</v>
      </c>
      <c r="N14">
        <f>MLX_R!E85</f>
        <v>1.0295630140987011</v>
      </c>
      <c r="O14">
        <f>MLX_R!E104</f>
        <v>0.66164777470930636</v>
      </c>
    </row>
    <row r="15" spans="1:15" x14ac:dyDescent="0.25">
      <c r="A15">
        <v>3</v>
      </c>
      <c r="B15">
        <f>MLX_R!F18</f>
        <v>24.95</v>
      </c>
      <c r="C15">
        <f>MLX_R!F35</f>
        <v>25.485714285714288</v>
      </c>
      <c r="D15">
        <f>MLX_R!F49</f>
        <v>26.46</v>
      </c>
      <c r="E15">
        <f>MLX_R!F65</f>
        <v>27.214285714285715</v>
      </c>
      <c r="F15">
        <f>MLX_R!F84</f>
        <v>29.574999999999996</v>
      </c>
      <c r="G15">
        <f>MLX_R!F103</f>
        <v>29.822222222222219</v>
      </c>
      <c r="I15">
        <v>3</v>
      </c>
      <c r="J15">
        <f>MLX_R!F19</f>
        <v>0.80711125096145897</v>
      </c>
      <c r="K15">
        <f>MLX_R!F36</f>
        <v>0.75372092852410422</v>
      </c>
      <c r="L15">
        <f>MLX_R!F50</f>
        <v>0.55497747702046407</v>
      </c>
      <c r="M15">
        <f>MLX_R!F66</f>
        <v>0.69624845045565831</v>
      </c>
      <c r="N15">
        <f>MLX_R!F85</f>
        <v>0.78148210837759169</v>
      </c>
      <c r="O15">
        <f>MLX_R!F104</f>
        <v>0.65722480510434489</v>
      </c>
    </row>
    <row r="16" spans="1:15" x14ac:dyDescent="0.25">
      <c r="A16">
        <v>4</v>
      </c>
      <c r="B16">
        <f>MLX_R!G18</f>
        <v>23.462499999999999</v>
      </c>
      <c r="C16">
        <f>MLX_R!G35</f>
        <v>23.957142857142856</v>
      </c>
      <c r="D16">
        <f>MLX_R!G49</f>
        <v>24.98</v>
      </c>
      <c r="E16">
        <f>MLX_R!G65</f>
        <v>26.557142857142857</v>
      </c>
      <c r="F16">
        <f>MLX_R!G84</f>
        <v>28.024999999999999</v>
      </c>
      <c r="G16">
        <f>MLX_R!G103</f>
        <v>28.93333333333333</v>
      </c>
      <c r="I16">
        <v>4</v>
      </c>
      <c r="J16">
        <f>MLX_R!G19</f>
        <v>0.51530157605591909</v>
      </c>
      <c r="K16">
        <f>MLX_R!G36</f>
        <v>1.1118410300894981</v>
      </c>
      <c r="L16">
        <f>MLX_R!G50</f>
        <v>0.91214034007931033</v>
      </c>
      <c r="M16">
        <f>MLX_R!G66</f>
        <v>0.72997064520235533</v>
      </c>
      <c r="N16">
        <f>MLX_R!G85</f>
        <v>0.52030211004212346</v>
      </c>
      <c r="O16">
        <f>MLX_R!G104</f>
        <v>0.50249378105604503</v>
      </c>
    </row>
    <row r="17" spans="1:15" x14ac:dyDescent="0.25">
      <c r="A17">
        <v>5</v>
      </c>
      <c r="B17">
        <f>MLX_R!H18</f>
        <v>22.375</v>
      </c>
      <c r="C17">
        <f>MLX_R!H35</f>
        <v>22.614285714285717</v>
      </c>
      <c r="D17">
        <f>MLX_R!H49</f>
        <v>23.119999999999997</v>
      </c>
      <c r="E17">
        <f>MLX_R!H65</f>
        <v>24.24285714285714</v>
      </c>
      <c r="F17">
        <f>MLX_R!H84</f>
        <v>27.012499999999999</v>
      </c>
      <c r="G17">
        <f>MLX_R!H103</f>
        <v>27.744444444444444</v>
      </c>
      <c r="I17">
        <v>5</v>
      </c>
      <c r="J17">
        <f>MLX_R!H19</f>
        <v>0.91612538131290433</v>
      </c>
      <c r="K17">
        <f>MLX_R!H36</f>
        <v>1.2143977539348072</v>
      </c>
      <c r="L17">
        <f>MLX_R!H50</f>
        <v>0.75960516059331773</v>
      </c>
      <c r="M17">
        <f>MLX_R!H66</f>
        <v>0.45773770821706344</v>
      </c>
      <c r="N17">
        <f>MLX_R!H85</f>
        <v>1.0260012531320666</v>
      </c>
      <c r="O17">
        <f>MLX_R!H104</f>
        <v>0.69661881813354598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6B3-A8D6-4722-A745-CC613756CE98}">
  <dimension ref="A1:H104"/>
  <sheetViews>
    <sheetView topLeftCell="A72" workbookViewId="0">
      <selection activeCell="D66" sqref="D66"/>
    </sheetView>
  </sheetViews>
  <sheetFormatPr defaultRowHeight="13.2" x14ac:dyDescent="0.25"/>
  <cols>
    <col min="3" max="3" width="27.21875" customWidth="1"/>
  </cols>
  <sheetData>
    <row r="1" spans="1:8" x14ac:dyDescent="0.25">
      <c r="C1" t="s">
        <v>33</v>
      </c>
    </row>
    <row r="2" spans="1:8" x14ac:dyDescent="0.25">
      <c r="A2" t="str">
        <f>Raw_Data!B2</f>
        <v>glasses</v>
      </c>
      <c r="B2" t="str">
        <f>MLX_R!B2</f>
        <v>body temp</v>
      </c>
      <c r="C2" t="str">
        <f>MLX_R!C2</f>
        <v>ambient temp</v>
      </c>
      <c r="D2" t="str">
        <f>MLX_R!D2</f>
        <v>1M</v>
      </c>
      <c r="E2" t="str">
        <f>MLX_R!E2</f>
        <v>2M</v>
      </c>
      <c r="F2" t="str">
        <f>MLX_R!F2</f>
        <v>3M</v>
      </c>
      <c r="G2" t="str">
        <f>MLX_R!G2</f>
        <v>4M</v>
      </c>
      <c r="H2" t="str">
        <f>MLX_R!H2</f>
        <v>5M</v>
      </c>
    </row>
    <row r="3" spans="1:8" x14ac:dyDescent="0.25">
      <c r="A3" t="str">
        <f>Raw_Data!B3</f>
        <v>N</v>
      </c>
      <c r="B3">
        <f>MLX_R!B3</f>
        <v>36.799999999999997</v>
      </c>
      <c r="C3">
        <f>MLX_R!C3</f>
        <v>16</v>
      </c>
      <c r="D3">
        <f>Raw_Data!O3</f>
        <v>29.5</v>
      </c>
      <c r="E3">
        <f>Raw_Data!P3</f>
        <v>27</v>
      </c>
      <c r="F3">
        <f>Raw_Data!Q3</f>
        <v>26</v>
      </c>
      <c r="G3">
        <f>Raw_Data!R3</f>
        <v>23</v>
      </c>
      <c r="H3">
        <f>Raw_Data!S3</f>
        <v>21.7</v>
      </c>
    </row>
    <row r="4" spans="1:8" x14ac:dyDescent="0.25">
      <c r="A4" t="str">
        <f>Raw_Data!B4</f>
        <v>Y</v>
      </c>
      <c r="B4">
        <f>MLX_R!B4</f>
        <v>36.799999999999997</v>
      </c>
      <c r="C4">
        <f>MLX_R!C4</f>
        <v>16</v>
      </c>
      <c r="D4">
        <f>Raw_Data!O4</f>
        <v>30</v>
      </c>
      <c r="E4">
        <f>Raw_Data!P4</f>
        <v>28.7</v>
      </c>
      <c r="F4">
        <f>Raw_Data!Q4</f>
        <v>25.7</v>
      </c>
      <c r="G4">
        <f>Raw_Data!R4</f>
        <v>23.5</v>
      </c>
      <c r="H4">
        <f>Raw_Data!S4</f>
        <v>22.5</v>
      </c>
    </row>
    <row r="5" spans="1:8" x14ac:dyDescent="0.25">
      <c r="A5" t="str">
        <f>Raw_Data!B5</f>
        <v>N</v>
      </c>
      <c r="B5">
        <f>MLX_R!B5</f>
        <v>36.799999999999997</v>
      </c>
      <c r="C5">
        <f>MLX_R!C5</f>
        <v>16</v>
      </c>
      <c r="D5">
        <f>Raw_Data!O5</f>
        <v>30</v>
      </c>
      <c r="E5">
        <f>Raw_Data!P5</f>
        <v>28.5</v>
      </c>
      <c r="F5">
        <f>Raw_Data!Q5</f>
        <v>26.5</v>
      </c>
      <c r="G5">
        <f>Raw_Data!R5</f>
        <v>24.5</v>
      </c>
      <c r="H5">
        <f>Raw_Data!S5</f>
        <v>22.5</v>
      </c>
    </row>
    <row r="6" spans="1:8" x14ac:dyDescent="0.25">
      <c r="A6" t="str">
        <f>Raw_Data!B6</f>
        <v>Y</v>
      </c>
      <c r="B6">
        <f>MLX_R!B6</f>
        <v>36.6</v>
      </c>
      <c r="C6">
        <f>MLX_R!C6</f>
        <v>16</v>
      </c>
      <c r="D6">
        <f>Raw_Data!O6</f>
        <v>32</v>
      </c>
      <c r="E6">
        <f>Raw_Data!P6</f>
        <v>30</v>
      </c>
      <c r="F6">
        <f>Raw_Data!Q6</f>
        <v>26</v>
      </c>
      <c r="G6">
        <f>Raw_Data!R6</f>
        <v>24</v>
      </c>
      <c r="H6">
        <f>Raw_Data!S6</f>
        <v>22.5</v>
      </c>
    </row>
    <row r="7" spans="1:8" x14ac:dyDescent="0.25">
      <c r="A7" t="str">
        <f>Raw_Data!B7</f>
        <v>N</v>
      </c>
      <c r="B7">
        <f>MLX_R!B7</f>
        <v>36.6</v>
      </c>
      <c r="C7">
        <f>MLX_R!C7</f>
        <v>16</v>
      </c>
      <c r="D7">
        <f>Raw_Data!O7</f>
        <v>31.5</v>
      </c>
      <c r="E7">
        <f>Raw_Data!P7</f>
        <v>31</v>
      </c>
      <c r="F7">
        <f>Raw_Data!Q7</f>
        <v>26.5</v>
      </c>
      <c r="G7">
        <f>Raw_Data!R7</f>
        <v>24.5</v>
      </c>
      <c r="H7">
        <f>Raw_Data!S7</f>
        <v>23</v>
      </c>
    </row>
    <row r="8" spans="1:8" x14ac:dyDescent="0.25">
      <c r="A8" t="str">
        <f>Raw_Data!B8</f>
        <v>Y</v>
      </c>
      <c r="B8">
        <f>MLX_R!B8</f>
        <v>35.4</v>
      </c>
      <c r="C8">
        <f>MLX_R!C8</f>
        <v>16</v>
      </c>
      <c r="D8">
        <f>Raw_Data!O8</f>
        <v>30</v>
      </c>
      <c r="E8">
        <f>Raw_Data!P8</f>
        <v>27</v>
      </c>
      <c r="F8">
        <f>Raw_Data!Q8</f>
        <v>25</v>
      </c>
      <c r="G8">
        <f>Raw_Data!R8</f>
        <v>23</v>
      </c>
      <c r="H8">
        <f>Raw_Data!S8</f>
        <v>22</v>
      </c>
    </row>
    <row r="9" spans="1:8" x14ac:dyDescent="0.25">
      <c r="A9" t="str">
        <f>Raw_Data!B9</f>
        <v>N</v>
      </c>
      <c r="B9">
        <f>MLX_R!B9</f>
        <v>35.4</v>
      </c>
      <c r="C9">
        <f>MLX_R!C9</f>
        <v>16</v>
      </c>
      <c r="D9">
        <f>Raw_Data!O9</f>
        <v>30.5</v>
      </c>
      <c r="E9">
        <f>Raw_Data!P9</f>
        <v>28</v>
      </c>
      <c r="F9">
        <f>Raw_Data!Q9</f>
        <v>25.5</v>
      </c>
      <c r="G9">
        <f>Raw_Data!R9</f>
        <v>23</v>
      </c>
      <c r="H9">
        <f>Raw_Data!S9</f>
        <v>21.5</v>
      </c>
    </row>
    <row r="10" spans="1:8" x14ac:dyDescent="0.25">
      <c r="A10" t="str">
        <f>Raw_Data!B10</f>
        <v>N</v>
      </c>
      <c r="B10">
        <f>MLX_R!B10</f>
        <v>36.700000000000003</v>
      </c>
      <c r="C10">
        <f>MLX_R!C10</f>
        <v>16</v>
      </c>
      <c r="D10">
        <f>Raw_Data!O10</f>
        <v>30</v>
      </c>
      <c r="E10">
        <f>Raw_Data!P10</f>
        <v>26.7</v>
      </c>
      <c r="F10">
        <f>Raw_Data!Q10</f>
        <v>25.8</v>
      </c>
      <c r="G10">
        <f>Raw_Data!R10</f>
        <v>25</v>
      </c>
      <c r="H10">
        <f>Raw_Data!S10</f>
        <v>23</v>
      </c>
    </row>
    <row r="11" spans="1:8" x14ac:dyDescent="0.25">
      <c r="A11" t="str">
        <f>Raw_Data!B11</f>
        <v>N</v>
      </c>
      <c r="B11">
        <f>MLX_R!B11</f>
        <v>36.1</v>
      </c>
      <c r="C11">
        <f>MLX_R!C11</f>
        <v>16</v>
      </c>
      <c r="D11">
        <f>Raw_Data!O11</f>
        <v>30.1</v>
      </c>
      <c r="E11">
        <f>Raw_Data!P11</f>
        <v>28</v>
      </c>
      <c r="F11">
        <f>Raw_Data!Q11</f>
        <v>26</v>
      </c>
      <c r="G11">
        <f>Raw_Data!R11</f>
        <v>24</v>
      </c>
      <c r="H11">
        <f>Raw_Data!S11</f>
        <v>24</v>
      </c>
    </row>
    <row r="12" spans="1:8" x14ac:dyDescent="0.25">
      <c r="A12" t="str">
        <f>Raw_Data!B12</f>
        <v>Y</v>
      </c>
      <c r="B12">
        <f>MLX_R!B12</f>
        <v>36.6</v>
      </c>
      <c r="C12">
        <f>MLX_R!C12</f>
        <v>16</v>
      </c>
      <c r="D12">
        <f>Raw_Data!O12</f>
        <v>30.1</v>
      </c>
      <c r="E12">
        <f>Raw_Data!P12</f>
        <v>27.5</v>
      </c>
      <c r="F12">
        <f>Raw_Data!Q12</f>
        <v>25.8</v>
      </c>
      <c r="G12">
        <f>Raw_Data!R12</f>
        <v>24.4</v>
      </c>
      <c r="H12">
        <f>Raw_Data!S12</f>
        <v>23</v>
      </c>
    </row>
    <row r="13" spans="1:8" x14ac:dyDescent="0.25">
      <c r="A13" t="str">
        <f>Raw_Data!B13</f>
        <v>N</v>
      </c>
      <c r="B13">
        <f>MLX_R!B13</f>
        <v>36.6</v>
      </c>
      <c r="C13">
        <f>MLX_R!C13</f>
        <v>16</v>
      </c>
      <c r="D13">
        <f>Raw_Data!O13</f>
        <v>29.1</v>
      </c>
      <c r="E13">
        <f>Raw_Data!P13</f>
        <v>28.2</v>
      </c>
      <c r="F13">
        <f>Raw_Data!Q13</f>
        <v>25.6</v>
      </c>
      <c r="G13">
        <f>Raw_Data!R13</f>
        <v>24.6</v>
      </c>
      <c r="H13">
        <f>Raw_Data!S13</f>
        <v>23.5</v>
      </c>
    </row>
    <row r="14" spans="1:8" x14ac:dyDescent="0.25">
      <c r="A14" t="str">
        <f>Raw_Data!B14</f>
        <v>Y</v>
      </c>
      <c r="B14">
        <f>MLX_R!B14</f>
        <v>36.4</v>
      </c>
      <c r="C14">
        <f>MLX_R!C14</f>
        <v>16</v>
      </c>
      <c r="D14">
        <f>Raw_Data!O14</f>
        <v>29</v>
      </c>
      <c r="E14">
        <f>Raw_Data!P14</f>
        <v>26</v>
      </c>
      <c r="F14">
        <f>Raw_Data!Q14</f>
        <v>23.4</v>
      </c>
      <c r="G14">
        <f>Raw_Data!R14</f>
        <v>21.9</v>
      </c>
      <c r="H14">
        <f>Raw_Data!S14</f>
        <v>20.5</v>
      </c>
    </row>
    <row r="15" spans="1:8" x14ac:dyDescent="0.25">
      <c r="A15" t="str">
        <f>Raw_Data!B15</f>
        <v>N</v>
      </c>
      <c r="B15">
        <f>MLX_R!B15</f>
        <v>36.4</v>
      </c>
      <c r="C15">
        <f>MLX_R!C15</f>
        <v>16</v>
      </c>
      <c r="D15">
        <f>Raw_Data!O15</f>
        <v>29.5</v>
      </c>
      <c r="E15">
        <f>Raw_Data!P15</f>
        <v>26.5</v>
      </c>
      <c r="F15">
        <f>Raw_Data!Q15</f>
        <v>25.5</v>
      </c>
      <c r="G15">
        <f>Raw_Data!R15</f>
        <v>23.2</v>
      </c>
      <c r="H15">
        <f>Raw_Data!S15</f>
        <v>20.5</v>
      </c>
    </row>
    <row r="16" spans="1:8" x14ac:dyDescent="0.25">
      <c r="C16" t="s">
        <v>58</v>
      </c>
      <c r="D16">
        <f>AVERAGEIF(A3:A15,"=Y",D3:D15)</f>
        <v>30.22</v>
      </c>
      <c r="E16">
        <f>AVERAGEIF(A3:A15,"=Y",E3:E15)</f>
        <v>27.839999999999996</v>
      </c>
      <c r="F16">
        <f>AVERAGEIF(A3:A15,"=Y",F3:F15)</f>
        <v>25.18</v>
      </c>
      <c r="G16">
        <f>AVERAGEIF(A3:A15,"=Y",G3:G15)</f>
        <v>23.360000000000003</v>
      </c>
      <c r="H16">
        <f>AVERAGEIF(A3:A15,"=Y",H3:H15)</f>
        <v>22.1</v>
      </c>
    </row>
    <row r="17" spans="1:8" x14ac:dyDescent="0.25">
      <c r="C17" t="s">
        <v>17</v>
      </c>
      <c r="D17">
        <f>_xlfn.STDEV.S(D4,D6,D8,D12,D14)</f>
        <v>1.0917875251164944</v>
      </c>
      <c r="E17">
        <f>_xlfn.STDEV.S(E4,E6,E8,E12,E14)</f>
        <v>1.5501612819316575</v>
      </c>
      <c r="F17">
        <f>_xlfn.STDEV.S(F4,F6,F8,F12,F14)</f>
        <v>1.0639548862616315</v>
      </c>
      <c r="G17">
        <f>_xlfn.STDEV.S(G4,G6,G8,G12,G14)</f>
        <v>0.97108187090481735</v>
      </c>
      <c r="H17">
        <f>_xlfn.STDEV.S(H4,H6,H8,H12,H14)</f>
        <v>0.96176920308356728</v>
      </c>
    </row>
    <row r="18" spans="1:8" x14ac:dyDescent="0.25">
      <c r="C18" t="s">
        <v>59</v>
      </c>
      <c r="D18">
        <f>AVERAGEIF(A3:A15,"=N",D3:D15)</f>
        <v>30.024999999999999</v>
      </c>
      <c r="E18">
        <f>AVERAGEIF(A3:A15,"=N",E3:E15)</f>
        <v>27.987499999999997</v>
      </c>
      <c r="F18">
        <f>AVERAGEIF(A3:A15,"=N",F3:F15)</f>
        <v>25.925000000000001</v>
      </c>
      <c r="G18">
        <f>AVERAGEIF(A3:A15,"=N",G3:G15)</f>
        <v>23.974999999999998</v>
      </c>
      <c r="H18">
        <f>AVERAGEIF(A3:A15,"=N",H3:H15)</f>
        <v>22.462499999999999</v>
      </c>
    </row>
    <row r="19" spans="1:8" x14ac:dyDescent="0.25">
      <c r="C19" t="s">
        <v>17</v>
      </c>
      <c r="D19">
        <f>_xlfn.STDEV.S(D3,D5,D7,D9,D10,D11,D13,D15)</f>
        <v>0.7382411530116697</v>
      </c>
      <c r="E19">
        <f>_xlfn.STDEV.S(E3,E5,E7,E9,E10,E11,E13,E15)</f>
        <v>1.4257203692970692</v>
      </c>
      <c r="F19">
        <f>_xlfn.STDEV.S(F3,F5,F7,F9,F10,F11,F13,F15)</f>
        <v>0.4062019202317978</v>
      </c>
      <c r="G19">
        <f>_xlfn.STDEV.S(G3,G5,G7,G9,G10,G11,G13,G15)</f>
        <v>0.80133816653324175</v>
      </c>
      <c r="H19">
        <f>_xlfn.STDEV.S(H3,H5,H7,H9,H10,H11,H13,H15)</f>
        <v>1.157506556599758</v>
      </c>
    </row>
    <row r="21" spans="1:8" x14ac:dyDescent="0.25">
      <c r="A21" t="str">
        <f>$A$2</f>
        <v>glasses</v>
      </c>
      <c r="B21" t="str">
        <f t="shared" ref="B21:H21" si="0">B2</f>
        <v>body temp</v>
      </c>
      <c r="C21" t="str">
        <f t="shared" si="0"/>
        <v>ambient temp</v>
      </c>
      <c r="D21" t="str">
        <f t="shared" si="0"/>
        <v>1M</v>
      </c>
      <c r="E21" t="str">
        <f t="shared" si="0"/>
        <v>2M</v>
      </c>
      <c r="F21" t="str">
        <f t="shared" si="0"/>
        <v>3M</v>
      </c>
      <c r="G21" t="str">
        <f t="shared" si="0"/>
        <v>4M</v>
      </c>
      <c r="H21" t="str">
        <f t="shared" si="0"/>
        <v>5M</v>
      </c>
    </row>
    <row r="22" spans="1:8" x14ac:dyDescent="0.25">
      <c r="A22" t="str">
        <f>Raw_Data!B16</f>
        <v>Y</v>
      </c>
      <c r="B22">
        <f>MLX_R!B22</f>
        <v>36.700000000000003</v>
      </c>
      <c r="C22">
        <f>MLX_R!C22</f>
        <v>18</v>
      </c>
      <c r="D22">
        <f>Raw_Data!O16</f>
        <v>29.1</v>
      </c>
      <c r="E22">
        <f>Raw_Data!P16</f>
        <v>27.5</v>
      </c>
      <c r="F22">
        <f>Raw_Data!Q16</f>
        <v>25.8</v>
      </c>
      <c r="G22">
        <f>Raw_Data!R16</f>
        <v>24</v>
      </c>
      <c r="H22">
        <f>Raw_Data!S16</f>
        <v>22.2</v>
      </c>
    </row>
    <row r="23" spans="1:8" x14ac:dyDescent="0.25">
      <c r="A23" t="str">
        <f>Raw_Data!B17</f>
        <v>N</v>
      </c>
      <c r="B23">
        <f>MLX_R!B23</f>
        <v>36.700000000000003</v>
      </c>
      <c r="C23">
        <f>MLX_R!C23</f>
        <v>18</v>
      </c>
      <c r="D23">
        <f>Raw_Data!O17</f>
        <v>29.3</v>
      </c>
      <c r="E23">
        <f>Raw_Data!P17</f>
        <v>28.1</v>
      </c>
      <c r="F23">
        <f>Raw_Data!Q17</f>
        <v>26.5</v>
      </c>
      <c r="G23">
        <f>Raw_Data!R17</f>
        <v>25.2</v>
      </c>
      <c r="H23">
        <f>Raw_Data!S17</f>
        <v>23.7</v>
      </c>
    </row>
    <row r="24" spans="1:8" x14ac:dyDescent="0.25">
      <c r="A24" t="str">
        <f>Raw_Data!B18</f>
        <v>Y</v>
      </c>
      <c r="B24">
        <f>MLX_R!B24</f>
        <v>35.200000000000003</v>
      </c>
      <c r="C24">
        <f>MLX_R!C24</f>
        <v>18</v>
      </c>
      <c r="D24">
        <f>Raw_Data!O18</f>
        <v>30</v>
      </c>
      <c r="E24">
        <f>Raw_Data!P18</f>
        <v>28.2</v>
      </c>
      <c r="F24">
        <f>Raw_Data!Q18</f>
        <v>27</v>
      </c>
      <c r="G24">
        <f>Raw_Data!R18</f>
        <v>24</v>
      </c>
      <c r="H24">
        <f>Raw_Data!S18</f>
        <v>20.5</v>
      </c>
    </row>
    <row r="25" spans="1:8" x14ac:dyDescent="0.25">
      <c r="A25" t="str">
        <f>Raw_Data!B19</f>
        <v>N</v>
      </c>
      <c r="B25">
        <f>MLX_R!B25</f>
        <v>35.200000000000003</v>
      </c>
      <c r="C25">
        <f>MLX_R!C25</f>
        <v>18</v>
      </c>
      <c r="D25">
        <f>Raw_Data!O19</f>
        <v>31.5</v>
      </c>
      <c r="E25">
        <f>Raw_Data!P19</f>
        <v>28.5</v>
      </c>
      <c r="F25">
        <f>Raw_Data!Q19</f>
        <v>28</v>
      </c>
      <c r="G25">
        <f>Raw_Data!R19</f>
        <v>25</v>
      </c>
      <c r="H25">
        <f>Raw_Data!S19</f>
        <v>20.8</v>
      </c>
    </row>
    <row r="26" spans="1:8" x14ac:dyDescent="0.25">
      <c r="A26" t="str">
        <f>Raw_Data!B20</f>
        <v>Y</v>
      </c>
      <c r="B26">
        <f>MLX_R!B26</f>
        <v>36.799999999999997</v>
      </c>
      <c r="C26">
        <f>MLX_R!C26</f>
        <v>18</v>
      </c>
      <c r="D26">
        <f>Raw_Data!O20</f>
        <v>30.5</v>
      </c>
      <c r="E26">
        <f>Raw_Data!P20</f>
        <v>27.8</v>
      </c>
      <c r="F26">
        <f>Raw_Data!Q20</f>
        <v>24</v>
      </c>
      <c r="G26">
        <f>Raw_Data!R20</f>
        <v>22</v>
      </c>
      <c r="H26">
        <f>Raw_Data!S20</f>
        <v>21</v>
      </c>
    </row>
    <row r="27" spans="1:8" x14ac:dyDescent="0.25">
      <c r="A27" t="str">
        <f>Raw_Data!B21</f>
        <v>N</v>
      </c>
      <c r="B27">
        <f>MLX_R!B27</f>
        <v>36.799999999999997</v>
      </c>
      <c r="C27">
        <f>MLX_R!C27</f>
        <v>18</v>
      </c>
      <c r="D27">
        <f>Raw_Data!O21</f>
        <v>30.5</v>
      </c>
      <c r="E27">
        <f>Raw_Data!P21</f>
        <v>28.5</v>
      </c>
      <c r="F27">
        <f>Raw_Data!Q21</f>
        <v>24.5</v>
      </c>
      <c r="G27">
        <f>Raw_Data!R21</f>
        <v>22.5</v>
      </c>
      <c r="H27">
        <f>Raw_Data!S21</f>
        <v>22</v>
      </c>
    </row>
    <row r="28" spans="1:8" x14ac:dyDescent="0.25">
      <c r="A28" t="str">
        <f>Raw_Data!B22</f>
        <v>N</v>
      </c>
      <c r="B28">
        <f>MLX_R!B28</f>
        <v>36.200000000000003</v>
      </c>
      <c r="C28">
        <f>MLX_R!C28</f>
        <v>18</v>
      </c>
      <c r="D28">
        <f>Raw_Data!O22</f>
        <v>30</v>
      </c>
      <c r="E28">
        <f>Raw_Data!P22</f>
        <v>28.5</v>
      </c>
      <c r="F28">
        <f>Raw_Data!Q22</f>
        <v>26</v>
      </c>
      <c r="G28">
        <f>Raw_Data!R22</f>
        <v>24.7</v>
      </c>
      <c r="H28">
        <f>Raw_Data!S22</f>
        <v>23</v>
      </c>
    </row>
    <row r="29" spans="1:8" x14ac:dyDescent="0.25">
      <c r="A29" t="str">
        <f>Raw_Data!B23</f>
        <v>N</v>
      </c>
      <c r="B29">
        <f>MLX_R!B29</f>
        <v>36.6</v>
      </c>
      <c r="C29">
        <f>MLX_R!C29</f>
        <v>18</v>
      </c>
      <c r="D29">
        <f>Raw_Data!O23</f>
        <v>30</v>
      </c>
      <c r="E29">
        <f>Raw_Data!P23</f>
        <v>27.4</v>
      </c>
      <c r="F29">
        <f>Raw_Data!Q23</f>
        <v>25</v>
      </c>
      <c r="G29">
        <f>Raw_Data!R23</f>
        <v>24.3</v>
      </c>
      <c r="H29">
        <f>Raw_Data!S23</f>
        <v>22</v>
      </c>
    </row>
    <row r="30" spans="1:8" x14ac:dyDescent="0.25">
      <c r="A30" t="str">
        <f>Raw_Data!B24</f>
        <v>Y</v>
      </c>
      <c r="B30">
        <f>MLX_R!B30</f>
        <v>36.799999999999997</v>
      </c>
      <c r="C30">
        <f>MLX_R!C30</f>
        <v>18</v>
      </c>
      <c r="D30">
        <f>Raw_Data!O24</f>
        <v>29.2</v>
      </c>
      <c r="E30">
        <f>Raw_Data!P24</f>
        <v>25.5</v>
      </c>
      <c r="F30">
        <f>Raw_Data!Q24</f>
        <v>26.6</v>
      </c>
      <c r="G30">
        <f>Raw_Data!R24</f>
        <v>23.3</v>
      </c>
      <c r="H30">
        <f>Raw_Data!S24</f>
        <v>21.5</v>
      </c>
    </row>
    <row r="31" spans="1:8" x14ac:dyDescent="0.25">
      <c r="A31" t="str">
        <f>Raw_Data!B25</f>
        <v>N</v>
      </c>
      <c r="B31">
        <f>MLX_R!B31</f>
        <v>36.799999999999997</v>
      </c>
      <c r="C31">
        <f>MLX_R!C31</f>
        <v>18</v>
      </c>
      <c r="D31">
        <f>Raw_Data!O25</f>
        <v>29.3</v>
      </c>
      <c r="E31">
        <f>Raw_Data!P25</f>
        <v>25.5</v>
      </c>
      <c r="F31">
        <f>Raw_Data!Q25</f>
        <v>26.5</v>
      </c>
      <c r="G31">
        <f>Raw_Data!R25</f>
        <v>22</v>
      </c>
      <c r="H31">
        <f>Raw_Data!S25</f>
        <v>23.3</v>
      </c>
    </row>
    <row r="32" spans="1:8" x14ac:dyDescent="0.25">
      <c r="A32" t="str">
        <f>Raw_Data!B26</f>
        <v>N</v>
      </c>
      <c r="B32">
        <f>MLX_R!B32</f>
        <v>36.799999999999997</v>
      </c>
      <c r="C32">
        <f>MLX_R!C32</f>
        <v>18</v>
      </c>
      <c r="D32">
        <f>Raw_Data!O26</f>
        <v>30</v>
      </c>
      <c r="E32">
        <f>Raw_Data!P26</f>
        <v>27.1</v>
      </c>
      <c r="F32">
        <f>Raw_Data!Q26</f>
        <v>24.5</v>
      </c>
      <c r="G32">
        <f>Raw_Data!R26</f>
        <v>23</v>
      </c>
      <c r="H32">
        <f>Raw_Data!S26</f>
        <v>22.3</v>
      </c>
    </row>
    <row r="33" spans="1:8" x14ac:dyDescent="0.25">
      <c r="C33" t="s">
        <v>58</v>
      </c>
      <c r="D33">
        <f>AVERAGEIF(A22:A32,"=Y",D22:D32)</f>
        <v>29.7</v>
      </c>
      <c r="E33">
        <f>AVERAGEIF(A22:A32,"=Y",E22:E32)</f>
        <v>27.25</v>
      </c>
      <c r="F33">
        <f>AVERAGEIF(A22:A32,"=Y",F22:F32)</f>
        <v>25.85</v>
      </c>
      <c r="G33">
        <f>AVERAGEIF(A22:A32,"=Y",G22:G32)</f>
        <v>23.324999999999999</v>
      </c>
      <c r="H33">
        <f>AVERAGEIF(A22:A32,"=Y",H22:H32)</f>
        <v>21.3</v>
      </c>
    </row>
    <row r="34" spans="1:8" x14ac:dyDescent="0.25">
      <c r="C34" t="s">
        <v>17</v>
      </c>
      <c r="D34">
        <f>_xlfn.STDEV.S(D22,D24,D26,D30)</f>
        <v>0.66833125519211378</v>
      </c>
      <c r="E34">
        <f>_xlfn.STDEV.S(E22,E24,E26,E30)</f>
        <v>1.2013880860626733</v>
      </c>
      <c r="F34">
        <f>_xlfn.STDEV.S(F22,F24,F26,F30)</f>
        <v>1.3304134695650074</v>
      </c>
      <c r="G34">
        <f>_xlfn.STDEV.S(G22,G24,G26,G30)</f>
        <v>0.942956343987709</v>
      </c>
      <c r="H34">
        <f>_xlfn.STDEV.S(H22,H24,H26,H30)</f>
        <v>0.72571803523590783</v>
      </c>
    </row>
    <row r="35" spans="1:8" x14ac:dyDescent="0.25">
      <c r="C35" t="s">
        <v>59</v>
      </c>
      <c r="D35">
        <f>AVERAGEIF(A22:A32,"=N",D22:D32)</f>
        <v>30.085714285714289</v>
      </c>
      <c r="E35">
        <f>AVERAGEIF(A22:A32,"=N",E22:E32)</f>
        <v>27.657142857142855</v>
      </c>
      <c r="F35">
        <f>AVERAGEIF(A22:A32,"=N",F22:F32)</f>
        <v>25.857142857142858</v>
      </c>
      <c r="G35">
        <f>AVERAGEIF(A22:A32,"=N",G22:G32)</f>
        <v>23.814285714285713</v>
      </c>
      <c r="H35">
        <f>AVERAGEIF(A22:A32,"=N",H22:H32)</f>
        <v>22.442857142857147</v>
      </c>
    </row>
    <row r="36" spans="1:8" x14ac:dyDescent="0.25">
      <c r="C36" t="s">
        <v>17</v>
      </c>
      <c r="D36">
        <f>_xlfn.STDEV.S(D23,D25,D27,D28,D29,D31,D32)</f>
        <v>0.75592894601845417</v>
      </c>
      <c r="E36">
        <f>_xlfn.STDEV.S(E23,E25,E27,E28,E29,E31,E32)</f>
        <v>1.1073348527841416</v>
      </c>
      <c r="F36">
        <f>_xlfn.STDEV.S(F23,F25,F27,F28,F29,F31,F32)</f>
        <v>1.2817398889233116</v>
      </c>
      <c r="G36">
        <f>_xlfn.STDEV.S(G23,G25,G27,G28,G29,G31,G32)</f>
        <v>1.2928374110570018</v>
      </c>
      <c r="H36">
        <f>_xlfn.STDEV.S(H23,H25,H27,H28,H29,H31,H32)</f>
        <v>0.9778499251881525</v>
      </c>
    </row>
    <row r="38" spans="1:8" x14ac:dyDescent="0.25">
      <c r="B38" t="str">
        <f t="shared" ref="B38:H38" si="1">B21</f>
        <v>body temp</v>
      </c>
      <c r="C38" t="str">
        <f t="shared" si="1"/>
        <v>ambient temp</v>
      </c>
      <c r="D38" t="str">
        <f t="shared" si="1"/>
        <v>1M</v>
      </c>
      <c r="E38" t="str">
        <f t="shared" si="1"/>
        <v>2M</v>
      </c>
      <c r="F38" t="str">
        <f t="shared" si="1"/>
        <v>3M</v>
      </c>
      <c r="G38" t="str">
        <f t="shared" si="1"/>
        <v>4M</v>
      </c>
      <c r="H38" t="str">
        <f t="shared" si="1"/>
        <v>5M</v>
      </c>
    </row>
    <row r="39" spans="1:8" x14ac:dyDescent="0.25">
      <c r="A39" t="str">
        <f>Raw_Data!B26</f>
        <v>N</v>
      </c>
      <c r="B39">
        <f>MLX_R!B39</f>
        <v>36.6</v>
      </c>
      <c r="C39">
        <f>MLX_R!C39</f>
        <v>20</v>
      </c>
      <c r="D39">
        <f>Raw_Data!O27</f>
        <v>29.6</v>
      </c>
      <c r="E39">
        <f>Raw_Data!P27</f>
        <v>27.7</v>
      </c>
      <c r="F39">
        <f>Raw_Data!Q27</f>
        <v>26.9</v>
      </c>
      <c r="G39">
        <f>Raw_Data!R27</f>
        <v>26.6</v>
      </c>
      <c r="H39">
        <f>Raw_Data!S27</f>
        <v>23.7</v>
      </c>
    </row>
    <row r="40" spans="1:8" x14ac:dyDescent="0.25">
      <c r="A40" t="str">
        <f>Raw_Data!B27</f>
        <v>N</v>
      </c>
      <c r="B40">
        <f>MLX_R!B40</f>
        <v>36.4</v>
      </c>
      <c r="C40">
        <f>MLX_R!C40</f>
        <v>20</v>
      </c>
      <c r="D40">
        <f>Raw_Data!O28</f>
        <v>28.6</v>
      </c>
      <c r="E40">
        <f>Raw_Data!P28</f>
        <v>27</v>
      </c>
      <c r="F40">
        <f>Raw_Data!Q28</f>
        <v>24.8</v>
      </c>
      <c r="G40">
        <f>Raw_Data!R28</f>
        <v>23.8</v>
      </c>
      <c r="H40">
        <f>Raw_Data!S28</f>
        <v>22.5</v>
      </c>
    </row>
    <row r="41" spans="1:8" x14ac:dyDescent="0.25">
      <c r="A41" t="str">
        <f>Raw_Data!B28</f>
        <v>N</v>
      </c>
      <c r="B41">
        <f>MLX_R!B41</f>
        <v>36.9</v>
      </c>
      <c r="C41">
        <f>MLX_R!C41</f>
        <v>20</v>
      </c>
      <c r="D41">
        <f>Raw_Data!O29</f>
        <v>29</v>
      </c>
      <c r="E41">
        <f>Raw_Data!P29</f>
        <v>27.9</v>
      </c>
      <c r="F41">
        <f>Raw_Data!Q29</f>
        <v>26.2</v>
      </c>
      <c r="G41">
        <f>Raw_Data!R29</f>
        <v>24.2</v>
      </c>
      <c r="H41">
        <f>Raw_Data!S29</f>
        <v>22</v>
      </c>
    </row>
    <row r="42" spans="1:8" x14ac:dyDescent="0.25">
      <c r="A42" t="str">
        <f>Raw_Data!B29</f>
        <v>Y</v>
      </c>
      <c r="B42">
        <f>MLX_R!B42</f>
        <v>36.9</v>
      </c>
      <c r="C42">
        <f>MLX_R!C42</f>
        <v>20</v>
      </c>
      <c r="D42">
        <f>Raw_Data!O30</f>
        <v>29.5</v>
      </c>
      <c r="E42">
        <f>Raw_Data!P30</f>
        <v>28.4</v>
      </c>
      <c r="F42">
        <f>Raw_Data!Q30</f>
        <v>27.5</v>
      </c>
      <c r="G42">
        <f>Raw_Data!R30</f>
        <v>25.7</v>
      </c>
      <c r="H42">
        <f>Raw_Data!S30</f>
        <v>22.4</v>
      </c>
    </row>
    <row r="43" spans="1:8" x14ac:dyDescent="0.25">
      <c r="A43" t="str">
        <f>Raw_Data!B30</f>
        <v>N</v>
      </c>
      <c r="B43">
        <f>MLX_R!B43</f>
        <v>36.4</v>
      </c>
      <c r="C43">
        <f>MLX_R!C43</f>
        <v>20</v>
      </c>
      <c r="D43">
        <f>Raw_Data!O31</f>
        <v>30</v>
      </c>
      <c r="E43">
        <f>Raw_Data!P31</f>
        <v>28.5</v>
      </c>
      <c r="F43">
        <f>Raw_Data!Q31</f>
        <v>26.8</v>
      </c>
      <c r="G43">
        <f>Raw_Data!R31</f>
        <v>24.8</v>
      </c>
      <c r="H43">
        <f>Raw_Data!S31</f>
        <v>22</v>
      </c>
    </row>
    <row r="44" spans="1:8" x14ac:dyDescent="0.25">
      <c r="A44" t="str">
        <f>Raw_Data!B31</f>
        <v>Y</v>
      </c>
      <c r="B44">
        <f>MLX_R!B44</f>
        <v>36.4</v>
      </c>
      <c r="C44">
        <f>MLX_R!C44</f>
        <v>20</v>
      </c>
      <c r="D44">
        <f>Raw_Data!O32</f>
        <v>30.5</v>
      </c>
      <c r="E44">
        <f>Raw_Data!P32</f>
        <v>29</v>
      </c>
      <c r="F44">
        <f>Raw_Data!Q32</f>
        <v>27</v>
      </c>
      <c r="G44">
        <f>Raw_Data!R32</f>
        <v>25.2</v>
      </c>
      <c r="H44">
        <f>Raw_Data!S32</f>
        <v>22.4</v>
      </c>
    </row>
    <row r="45" spans="1:8" x14ac:dyDescent="0.25">
      <c r="A45" t="str">
        <f>Raw_Data!B32</f>
        <v>N</v>
      </c>
      <c r="B45">
        <f>MLX_R!B45</f>
        <v>36.799999999999997</v>
      </c>
      <c r="C45">
        <f>MLX_R!C45</f>
        <v>20</v>
      </c>
      <c r="D45">
        <f>Raw_Data!O33</f>
        <v>30.5</v>
      </c>
      <c r="E45">
        <f>Raw_Data!P33</f>
        <v>28.5</v>
      </c>
      <c r="F45">
        <f>Raw_Data!Q33</f>
        <v>26.5</v>
      </c>
      <c r="G45">
        <f>Raw_Data!R33</f>
        <v>24</v>
      </c>
      <c r="H45">
        <f>Raw_Data!S33</f>
        <v>22.2</v>
      </c>
    </row>
    <row r="46" spans="1:8" x14ac:dyDescent="0.25">
      <c r="A46" t="str">
        <f>Raw_Data!B33</f>
        <v>Y</v>
      </c>
      <c r="B46">
        <f>MLX_R!B46</f>
        <v>36.799999999999997</v>
      </c>
      <c r="C46">
        <f>MLX_R!C46</f>
        <v>20</v>
      </c>
      <c r="D46">
        <f>Raw_Data!O34</f>
        <v>30.8</v>
      </c>
      <c r="E46">
        <f>Raw_Data!P34</f>
        <v>28.8</v>
      </c>
      <c r="F46">
        <f>Raw_Data!Q34</f>
        <v>26.8</v>
      </c>
      <c r="G46">
        <f>Raw_Data!R34</f>
        <v>24.2</v>
      </c>
      <c r="H46">
        <f>Raw_Data!S34</f>
        <v>22.5</v>
      </c>
    </row>
    <row r="47" spans="1:8" x14ac:dyDescent="0.25">
      <c r="C47" t="s">
        <v>58</v>
      </c>
      <c r="D47">
        <f>AVERAGEIF(A39:A46,"=Y",D39:D46)</f>
        <v>30.266666666666666</v>
      </c>
      <c r="E47">
        <f>AVERAGEIF(A39:A46,"=Y",E39:E46)</f>
        <v>28.733333333333334</v>
      </c>
      <c r="F47">
        <f>AVERAGEIF(A39:A46,"=Y",F39:F46)</f>
        <v>27.099999999999998</v>
      </c>
      <c r="G47">
        <f>AVERAGEIF(A39:A46,"=Y",G39:G46)</f>
        <v>25.033333333333331</v>
      </c>
      <c r="H47">
        <f>AVERAGEIF(A39:A46,"=Y",H39:H46)</f>
        <v>22.433333333333334</v>
      </c>
    </row>
    <row r="48" spans="1:8" x14ac:dyDescent="0.25">
      <c r="C48" t="s">
        <v>17</v>
      </c>
      <c r="D48">
        <f>_xlfn.STDEV.S(D42,D44,D46)</f>
        <v>0.68068592855540488</v>
      </c>
      <c r="E48">
        <f>_xlfn.STDEV.S(E42,E44,E46)</f>
        <v>0.30550504633039016</v>
      </c>
      <c r="F48">
        <f>_xlfn.STDEV.S(F42,F44,F46)</f>
        <v>0.36055512754639862</v>
      </c>
      <c r="G48">
        <f>_xlfn.STDEV.S(G42,G44,G46)</f>
        <v>0.76376261582597327</v>
      </c>
      <c r="H48">
        <f>_xlfn.STDEV.S(H42,H44,H46)</f>
        <v>5.77350269189634E-2</v>
      </c>
    </row>
    <row r="49" spans="1:8" x14ac:dyDescent="0.25">
      <c r="C49" t="s">
        <v>59</v>
      </c>
      <c r="D49">
        <f>AVERAGEIF(A39:A46,"=N",D39:D46)</f>
        <v>29.54</v>
      </c>
      <c r="E49">
        <f>AVERAGEIF(A39:A46,"=N",E39:E46)</f>
        <v>27.919999999999998</v>
      </c>
      <c r="F49">
        <f>AVERAGEIF(A39:A46,"=N",F39:F46)</f>
        <v>26.24</v>
      </c>
      <c r="G49">
        <f>AVERAGEIF(A39:A46,"=N",G39:G46)</f>
        <v>24.68</v>
      </c>
      <c r="H49">
        <f>AVERAGEIF(A39:A46,"=N",H39:H46)</f>
        <v>22.48</v>
      </c>
    </row>
    <row r="50" spans="1:8" x14ac:dyDescent="0.25">
      <c r="C50" t="s">
        <v>17</v>
      </c>
      <c r="D50">
        <f>_xlfn.STDEV.S(D39,D40,D41,D43,D45)</f>
        <v>0.76026311234992805</v>
      </c>
      <c r="E50">
        <f>_xlfn.STDEV.S(E39,E40,E41,E43,E45)</f>
        <v>0.62609903369994113</v>
      </c>
      <c r="F50">
        <f>_xlfn.STDEV.S(F39,F40,F41,F43,F45)</f>
        <v>0.85029406677925212</v>
      </c>
      <c r="G50">
        <f>_xlfn.STDEV.S(G39,G40,G41,G43,G45)</f>
        <v>1.1366617790706262</v>
      </c>
      <c r="H50">
        <f>_xlfn.STDEV.S(H39,H40,H41,H43,H45)</f>
        <v>0.71203932475671572</v>
      </c>
    </row>
    <row r="52" spans="1:8" x14ac:dyDescent="0.25">
      <c r="B52" t="str">
        <f>MLX_R!B52</f>
        <v>body temp</v>
      </c>
      <c r="C52" t="str">
        <f>MLX_R!C52</f>
        <v>ambient temp</v>
      </c>
      <c r="D52" t="str">
        <f>MLX_R!D52</f>
        <v>1M</v>
      </c>
      <c r="E52" t="str">
        <f>MLX_R!E52</f>
        <v>2M</v>
      </c>
      <c r="F52" t="str">
        <f>MLX_R!F52</f>
        <v>3M</v>
      </c>
      <c r="G52" t="str">
        <f>MLX_R!G52</f>
        <v>4M</v>
      </c>
      <c r="H52" t="str">
        <f>MLX_R!H52</f>
        <v>5M</v>
      </c>
    </row>
    <row r="53" spans="1:8" x14ac:dyDescent="0.25">
      <c r="A53" t="str">
        <f>Raw_Data!B34</f>
        <v>N</v>
      </c>
      <c r="B53">
        <f>MLX_R!B53</f>
        <v>36.700000000000003</v>
      </c>
      <c r="C53">
        <f>MLX_R!C53</f>
        <v>22</v>
      </c>
      <c r="D53">
        <f>Raw_Data!O35</f>
        <v>29.5</v>
      </c>
      <c r="E53">
        <f>Raw_Data!P35</f>
        <v>28</v>
      </c>
      <c r="F53">
        <f>Raw_Data!Q35</f>
        <v>26.5</v>
      </c>
      <c r="G53">
        <f>Raw_Data!R35</f>
        <v>25</v>
      </c>
      <c r="H53">
        <f>Raw_Data!S35</f>
        <v>24.2</v>
      </c>
    </row>
    <row r="54" spans="1:8" x14ac:dyDescent="0.25">
      <c r="A54" t="str">
        <f>Raw_Data!B35</f>
        <v>Y</v>
      </c>
      <c r="B54">
        <f>MLX_R!B54</f>
        <v>36.700000000000003</v>
      </c>
      <c r="C54">
        <f>MLX_R!C54</f>
        <v>22</v>
      </c>
      <c r="D54">
        <f>Raw_Data!O36</f>
        <v>29.8</v>
      </c>
      <c r="E54">
        <f>Raw_Data!P36</f>
        <v>28.2</v>
      </c>
      <c r="F54">
        <f>Raw_Data!Q36</f>
        <v>27.2</v>
      </c>
      <c r="G54">
        <f>Raw_Data!R36</f>
        <v>26</v>
      </c>
      <c r="H54">
        <f>Raw_Data!S36</f>
        <v>24.5</v>
      </c>
    </row>
    <row r="55" spans="1:8" x14ac:dyDescent="0.25">
      <c r="A55" t="str">
        <f>Raw_Data!B36</f>
        <v>N</v>
      </c>
      <c r="B55">
        <f>MLX_R!B55</f>
        <v>36.799999999999997</v>
      </c>
      <c r="C55">
        <f>MLX_R!C55</f>
        <v>22</v>
      </c>
      <c r="D55">
        <f>Raw_Data!O37</f>
        <v>30.2</v>
      </c>
      <c r="E55">
        <f>Raw_Data!P37</f>
        <v>28</v>
      </c>
      <c r="F55">
        <f>Raw_Data!Q37</f>
        <v>27.2</v>
      </c>
      <c r="G55">
        <f>Raw_Data!R37</f>
        <v>25.2</v>
      </c>
      <c r="H55">
        <f>Raw_Data!S37</f>
        <v>24.1</v>
      </c>
    </row>
    <row r="56" spans="1:8" x14ac:dyDescent="0.25">
      <c r="A56" t="str">
        <f>Raw_Data!B37</f>
        <v>N</v>
      </c>
      <c r="B56">
        <f>MLX_R!B56</f>
        <v>36.6</v>
      </c>
      <c r="C56">
        <f>MLX_R!C56</f>
        <v>22</v>
      </c>
      <c r="D56">
        <f>Raw_Data!O38</f>
        <v>29.7</v>
      </c>
      <c r="E56">
        <f>Raw_Data!P38</f>
        <v>27.2</v>
      </c>
      <c r="F56">
        <f>Raw_Data!Q38</f>
        <v>26.2</v>
      </c>
      <c r="G56">
        <f>Raw_Data!R38</f>
        <v>24.7</v>
      </c>
      <c r="H56">
        <f>Raw_Data!S38</f>
        <v>23</v>
      </c>
    </row>
    <row r="57" spans="1:8" x14ac:dyDescent="0.25">
      <c r="A57" t="str">
        <f>Raw_Data!B38</f>
        <v>N</v>
      </c>
      <c r="B57">
        <f>MLX_R!B57</f>
        <v>36.9</v>
      </c>
      <c r="C57">
        <f>MLX_R!C57</f>
        <v>22</v>
      </c>
      <c r="D57">
        <f>Raw_Data!O39</f>
        <v>30.5</v>
      </c>
      <c r="E57">
        <f>Raw_Data!P39</f>
        <v>29</v>
      </c>
      <c r="F57">
        <f>Raw_Data!Q39</f>
        <v>27</v>
      </c>
      <c r="G57">
        <f>Raw_Data!R39</f>
        <v>26.1</v>
      </c>
      <c r="H57">
        <f>Raw_Data!S39</f>
        <v>24</v>
      </c>
    </row>
    <row r="58" spans="1:8" x14ac:dyDescent="0.25">
      <c r="A58" t="str">
        <f>Raw_Data!B39</f>
        <v>N</v>
      </c>
      <c r="B58">
        <f>MLX_R!B58</f>
        <v>36.700000000000003</v>
      </c>
      <c r="C58">
        <f>MLX_R!C58</f>
        <v>22</v>
      </c>
      <c r="D58">
        <f>Raw_Data!O40</f>
        <v>30.5</v>
      </c>
      <c r="E58">
        <f>Raw_Data!P40</f>
        <v>28.2</v>
      </c>
      <c r="F58">
        <f>Raw_Data!Q40</f>
        <v>27.6</v>
      </c>
      <c r="G58">
        <f>Raw_Data!R40</f>
        <v>26.6</v>
      </c>
      <c r="H58">
        <f>Raw_Data!S40</f>
        <v>25</v>
      </c>
    </row>
    <row r="59" spans="1:8" x14ac:dyDescent="0.25">
      <c r="A59" t="str">
        <f>Raw_Data!B40</f>
        <v>N</v>
      </c>
      <c r="B59">
        <f>MLX_R!B59</f>
        <v>36.799999999999997</v>
      </c>
      <c r="C59">
        <f>MLX_R!C59</f>
        <v>22</v>
      </c>
      <c r="D59">
        <f>Raw_Data!O41</f>
        <v>29.3</v>
      </c>
      <c r="E59">
        <f>Raw_Data!P41</f>
        <v>28.6</v>
      </c>
      <c r="F59">
        <f>Raw_Data!Q41</f>
        <v>27.3</v>
      </c>
      <c r="G59">
        <f>Raw_Data!R41</f>
        <v>26.6</v>
      </c>
      <c r="H59">
        <f>Raw_Data!S41</f>
        <v>24</v>
      </c>
    </row>
    <row r="60" spans="1:8" x14ac:dyDescent="0.25">
      <c r="A60" t="str">
        <f>Raw_Data!B41</f>
        <v>Y</v>
      </c>
      <c r="B60">
        <f>MLX_R!B60</f>
        <v>36.799999999999997</v>
      </c>
      <c r="C60">
        <f>MLX_R!C60</f>
        <v>22</v>
      </c>
      <c r="D60">
        <f>Raw_Data!O42</f>
        <v>29.8</v>
      </c>
      <c r="E60">
        <f>Raw_Data!P42</f>
        <v>29</v>
      </c>
      <c r="F60">
        <f>Raw_Data!Q42</f>
        <v>27.4</v>
      </c>
      <c r="G60">
        <f>Raw_Data!R42</f>
        <v>26.8</v>
      </c>
      <c r="H60">
        <f>Raw_Data!S42</f>
        <v>24.2</v>
      </c>
    </row>
    <row r="61" spans="1:8" x14ac:dyDescent="0.25">
      <c r="A61" t="str">
        <f>Raw_Data!B42</f>
        <v>N</v>
      </c>
      <c r="B61">
        <f>MLX_R!B61</f>
        <v>36.9</v>
      </c>
      <c r="C61">
        <f>MLX_R!C61</f>
        <v>22</v>
      </c>
      <c r="D61">
        <f>Raw_Data!O43</f>
        <v>30</v>
      </c>
      <c r="E61">
        <f>Raw_Data!P43</f>
        <v>29</v>
      </c>
      <c r="F61">
        <f>Raw_Data!Q43</f>
        <v>28.5</v>
      </c>
      <c r="G61">
        <f>Raw_Data!R43</f>
        <v>27.4</v>
      </c>
      <c r="H61">
        <f>Raw_Data!S43</f>
        <v>25.2</v>
      </c>
    </row>
    <row r="62" spans="1:8" x14ac:dyDescent="0.25">
      <c r="A62" t="str">
        <f>Raw_Data!B43</f>
        <v>Y</v>
      </c>
      <c r="B62">
        <f>MLX_R!B62</f>
        <v>36.9</v>
      </c>
      <c r="C62">
        <f>MLX_R!C62</f>
        <v>22</v>
      </c>
      <c r="D62">
        <f>Raw_Data!O44</f>
        <v>30.3</v>
      </c>
      <c r="E62">
        <f>Raw_Data!P44</f>
        <v>29.2</v>
      </c>
      <c r="F62">
        <f>Raw_Data!Q44</f>
        <v>28.7</v>
      </c>
      <c r="G62">
        <f>Raw_Data!R44</f>
        <v>27.8</v>
      </c>
      <c r="H62">
        <f>Raw_Data!S44</f>
        <v>25.5</v>
      </c>
    </row>
    <row r="63" spans="1:8" x14ac:dyDescent="0.25">
      <c r="C63" t="s">
        <v>58</v>
      </c>
      <c r="D63">
        <f>AVERAGEIF(A53:A62,"=Y",D53:D62)</f>
        <v>29.966666666666669</v>
      </c>
      <c r="E63">
        <f>AVERAGEIF(A53:A62,"=Y",E53:E62)</f>
        <v>28.8</v>
      </c>
      <c r="F63">
        <f>AVERAGEIF(A53:A62,"=Y",F53:F62)</f>
        <v>27.766666666666666</v>
      </c>
      <c r="G63">
        <f>AVERAGEIF(A53:A62,"=Y",G53:G62)</f>
        <v>26.866666666666664</v>
      </c>
      <c r="H63">
        <f>AVERAGEIF(A53:A62,"=Y",H53:H62)</f>
        <v>24.733333333333334</v>
      </c>
    </row>
    <row r="64" spans="1:8" x14ac:dyDescent="0.25">
      <c r="C64" t="s">
        <v>17</v>
      </c>
      <c r="D64">
        <f>_xlfn.STDEV.S(D54,D60,D62)</f>
        <v>0.28867513459481292</v>
      </c>
      <c r="E64">
        <f>_xlfn.STDEV.S(E54,E60,E62)</f>
        <v>0.52915026221291828</v>
      </c>
      <c r="F64">
        <f>_xlfn.STDEV.S(F54,F60,F62)</f>
        <v>0.8144527815247079</v>
      </c>
      <c r="G64">
        <f>_xlfn.STDEV.S(G54,G60,G62)</f>
        <v>0.90184995056457917</v>
      </c>
      <c r="H64">
        <f>_xlfn.STDEV.S(H54,H60,H62)</f>
        <v>0.68068592855540488</v>
      </c>
    </row>
    <row r="65" spans="1:8" x14ac:dyDescent="0.25">
      <c r="C65" t="s">
        <v>59</v>
      </c>
      <c r="D65">
        <f>AVERAGEIF(A53:A62,"=N",D53:D62)</f>
        <v>29.957142857142859</v>
      </c>
      <c r="E65">
        <f>AVERAGEIF(A53:A62,"=N",E53:E62)</f>
        <v>28.285714285714285</v>
      </c>
      <c r="F65">
        <f>AVERAGEIF(A53:A62,"=N",F53:F62)</f>
        <v>27.185714285714287</v>
      </c>
      <c r="G65">
        <f>AVERAGEIF(A53:A62,"=N",G53:G62)</f>
        <v>25.942857142857143</v>
      </c>
      <c r="H65">
        <f>AVERAGEIF(A53:A62,"=N",H53:H62)</f>
        <v>24.214285714285715</v>
      </c>
    </row>
    <row r="66" spans="1:8" x14ac:dyDescent="0.25">
      <c r="C66" t="s">
        <v>17</v>
      </c>
      <c r="D66">
        <f>_xlfn.STDEV.S(D53,D55,D56,D57,D58,D59,D61)</f>
        <v>0.47559486560567077</v>
      </c>
      <c r="E66">
        <f>_xlfn.STDEV.S(E53,E55,E56,E57,E58,E59,E61)</f>
        <v>0.64142698058981884</v>
      </c>
      <c r="F66">
        <f>_xlfn.STDEV.S(F53,F55,F56,F57,F58,F59,F61)</f>
        <v>0.75150642363316178</v>
      </c>
      <c r="G66">
        <f>_xlfn.STDEV.S(G53,G55,G56,G57,G58,G59,G61)</f>
        <v>0.99976187641048309</v>
      </c>
      <c r="H66">
        <f>_xlfn.STDEV.S(H53,H55,H56,H57,H58,H59,H61)</f>
        <v>0.72670161558595547</v>
      </c>
    </row>
    <row r="68" spans="1:8" x14ac:dyDescent="0.25">
      <c r="B68" t="str">
        <f t="shared" ref="B68:H68" si="2">B52</f>
        <v>body temp</v>
      </c>
      <c r="C68" t="str">
        <f t="shared" si="2"/>
        <v>ambient temp</v>
      </c>
      <c r="D68" t="str">
        <f t="shared" si="2"/>
        <v>1M</v>
      </c>
      <c r="E68" t="str">
        <f t="shared" si="2"/>
        <v>2M</v>
      </c>
      <c r="F68" t="str">
        <f t="shared" si="2"/>
        <v>3M</v>
      </c>
      <c r="G68" t="str">
        <f t="shared" si="2"/>
        <v>4M</v>
      </c>
      <c r="H68" t="str">
        <f t="shared" si="2"/>
        <v>5M</v>
      </c>
    </row>
    <row r="69" spans="1:8" x14ac:dyDescent="0.25">
      <c r="A69" t="str">
        <f>Raw_Data!B44</f>
        <v>N</v>
      </c>
      <c r="B69">
        <f>MLX_R!B69</f>
        <v>36.9</v>
      </c>
      <c r="C69">
        <f>MLX_R!C69</f>
        <v>24</v>
      </c>
      <c r="D69">
        <f>Raw_Data!O45</f>
        <v>31</v>
      </c>
      <c r="E69">
        <f>Raw_Data!P45</f>
        <v>30.7</v>
      </c>
      <c r="F69">
        <f>Raw_Data!Q45</f>
        <v>28</v>
      </c>
      <c r="G69">
        <f>Raw_Data!R45</f>
        <v>27</v>
      </c>
      <c r="H69">
        <f>Raw_Data!S45</f>
        <v>26</v>
      </c>
    </row>
    <row r="70" spans="1:8" x14ac:dyDescent="0.25">
      <c r="A70" t="str">
        <f>Raw_Data!B45</f>
        <v>Y</v>
      </c>
      <c r="B70">
        <f>MLX_R!B70</f>
        <v>36.9</v>
      </c>
      <c r="C70">
        <f>MLX_R!C70</f>
        <v>24</v>
      </c>
      <c r="D70">
        <f>Raw_Data!O46</f>
        <v>31.5</v>
      </c>
      <c r="E70">
        <f>Raw_Data!P46</f>
        <v>30.8</v>
      </c>
      <c r="F70">
        <f>Raw_Data!Q46</f>
        <v>28.5</v>
      </c>
      <c r="G70">
        <f>Raw_Data!R46</f>
        <v>27.5</v>
      </c>
      <c r="H70">
        <f>Raw_Data!S46</f>
        <v>26.5</v>
      </c>
    </row>
    <row r="71" spans="1:8" x14ac:dyDescent="0.25">
      <c r="A71" t="str">
        <f>Raw_Data!B46</f>
        <v>N</v>
      </c>
      <c r="B71">
        <f>MLX_R!B71</f>
        <v>36.700000000000003</v>
      </c>
      <c r="C71">
        <f>MLX_R!C71</f>
        <v>24</v>
      </c>
      <c r="D71">
        <f>Raw_Data!O47</f>
        <v>32</v>
      </c>
      <c r="E71">
        <f>Raw_Data!P47</f>
        <v>31.2</v>
      </c>
      <c r="F71">
        <f>Raw_Data!Q47</f>
        <v>28.8</v>
      </c>
      <c r="G71">
        <f>Raw_Data!R47</f>
        <v>28.2</v>
      </c>
      <c r="H71">
        <f>Raw_Data!S47</f>
        <v>28</v>
      </c>
    </row>
    <row r="72" spans="1:8" x14ac:dyDescent="0.25">
      <c r="A72" t="str">
        <f>Raw_Data!B47</f>
        <v>N</v>
      </c>
      <c r="B72">
        <f>MLX_R!B72</f>
        <v>36.5</v>
      </c>
      <c r="C72">
        <f>MLX_R!C72</f>
        <v>24</v>
      </c>
      <c r="D72">
        <f>Raw_Data!O48</f>
        <v>32</v>
      </c>
      <c r="E72">
        <f>Raw_Data!P48</f>
        <v>30.8</v>
      </c>
      <c r="F72">
        <f>Raw_Data!Q48</f>
        <v>28.3</v>
      </c>
      <c r="G72">
        <f>Raw_Data!R48</f>
        <v>27.5</v>
      </c>
      <c r="H72">
        <f>Raw_Data!S48</f>
        <v>26</v>
      </c>
    </row>
    <row r="73" spans="1:8" x14ac:dyDescent="0.25">
      <c r="A73" t="str">
        <f>Raw_Data!B48</f>
        <v>Y</v>
      </c>
      <c r="B73">
        <f>MLX_R!B73</f>
        <v>36.5</v>
      </c>
      <c r="C73">
        <f>MLX_R!C73</f>
        <v>24</v>
      </c>
      <c r="D73">
        <f>Raw_Data!O49</f>
        <v>32.200000000000003</v>
      </c>
      <c r="E73">
        <f>Raw_Data!P49</f>
        <v>31</v>
      </c>
      <c r="F73">
        <f>Raw_Data!Q49</f>
        <v>28.5</v>
      </c>
      <c r="G73">
        <f>Raw_Data!R49</f>
        <v>27.8</v>
      </c>
      <c r="H73">
        <f>Raw_Data!S49</f>
        <v>26.2</v>
      </c>
    </row>
    <row r="74" spans="1:8" x14ac:dyDescent="0.25">
      <c r="A74" t="str">
        <f>Raw_Data!B49</f>
        <v>N</v>
      </c>
      <c r="B74">
        <f>MLX_R!B74</f>
        <v>36.9</v>
      </c>
      <c r="C74">
        <f>MLX_R!C74</f>
        <v>24</v>
      </c>
      <c r="D74">
        <f>Raw_Data!O50</f>
        <v>30.9</v>
      </c>
      <c r="E74">
        <f>Raw_Data!P50</f>
        <v>30.2</v>
      </c>
      <c r="F74">
        <f>Raw_Data!Q50</f>
        <v>29</v>
      </c>
      <c r="G74">
        <f>Raw_Data!R50</f>
        <v>28.8</v>
      </c>
      <c r="H74">
        <f>Raw_Data!S50</f>
        <v>26</v>
      </c>
    </row>
    <row r="75" spans="1:8" x14ac:dyDescent="0.25">
      <c r="A75" t="str">
        <f>Raw_Data!B50</f>
        <v>Y</v>
      </c>
      <c r="B75">
        <f>MLX_R!B75</f>
        <v>36.9</v>
      </c>
      <c r="C75">
        <f>MLX_R!C75</f>
        <v>24</v>
      </c>
      <c r="D75">
        <f>Raw_Data!O51</f>
        <v>31.2</v>
      </c>
      <c r="E75">
        <f>Raw_Data!P51</f>
        <v>30.4</v>
      </c>
      <c r="F75">
        <f>Raw_Data!Q51</f>
        <v>30.2</v>
      </c>
      <c r="G75">
        <f>Raw_Data!R51</f>
        <v>27</v>
      </c>
      <c r="H75">
        <f>Raw_Data!S51</f>
        <v>26.5</v>
      </c>
    </row>
    <row r="76" spans="1:8" x14ac:dyDescent="0.25">
      <c r="A76" t="str">
        <f>Raw_Data!B51</f>
        <v>N</v>
      </c>
      <c r="B76">
        <f>MLX_R!B76</f>
        <v>36.9</v>
      </c>
      <c r="C76">
        <f>MLX_R!C76</f>
        <v>24</v>
      </c>
      <c r="D76">
        <f>Raw_Data!O52</f>
        <v>31.5</v>
      </c>
      <c r="E76">
        <f>Raw_Data!P52</f>
        <v>30.8</v>
      </c>
      <c r="F76">
        <f>Raw_Data!Q52</f>
        <v>29.3</v>
      </c>
      <c r="G76">
        <f>Raw_Data!R52</f>
        <v>27</v>
      </c>
      <c r="H76">
        <f>Raw_Data!S52</f>
        <v>25.5</v>
      </c>
    </row>
    <row r="77" spans="1:8" x14ac:dyDescent="0.25">
      <c r="A77" t="str">
        <f>Raw_Data!B52</f>
        <v>Y</v>
      </c>
      <c r="B77">
        <f>MLX_R!B77</f>
        <v>36.9</v>
      </c>
      <c r="C77">
        <f>MLX_R!C77</f>
        <v>24</v>
      </c>
      <c r="D77">
        <f>Raw_Data!O53</f>
        <v>31.7</v>
      </c>
      <c r="E77">
        <f>Raw_Data!P53</f>
        <v>31</v>
      </c>
      <c r="F77">
        <f>Raw_Data!Q53</f>
        <v>30.1</v>
      </c>
      <c r="G77">
        <f>Raw_Data!R53</f>
        <v>27.4</v>
      </c>
      <c r="H77">
        <f>Raw_Data!S53</f>
        <v>26</v>
      </c>
    </row>
    <row r="78" spans="1:8" x14ac:dyDescent="0.25">
      <c r="A78" t="str">
        <f>Raw_Data!B53</f>
        <v>N</v>
      </c>
      <c r="B78">
        <f>MLX_R!B78</f>
        <v>36.6</v>
      </c>
      <c r="C78">
        <f>MLX_R!C78</f>
        <v>24</v>
      </c>
      <c r="D78">
        <f>Raw_Data!O54</f>
        <v>31.6</v>
      </c>
      <c r="E78">
        <f>Raw_Data!P54</f>
        <v>30.8</v>
      </c>
      <c r="F78">
        <f>Raw_Data!Q54</f>
        <v>29.7</v>
      </c>
      <c r="G78">
        <f>Raw_Data!R54</f>
        <v>27</v>
      </c>
      <c r="H78">
        <f>Raw_Data!S54</f>
        <v>25.7</v>
      </c>
    </row>
    <row r="79" spans="1:8" x14ac:dyDescent="0.25">
      <c r="A79" t="str">
        <f>Raw_Data!B54</f>
        <v>N</v>
      </c>
      <c r="B79">
        <f>MLX_R!B79</f>
        <v>36.799999999999997</v>
      </c>
      <c r="C79">
        <f>MLX_R!C79</f>
        <v>24</v>
      </c>
      <c r="D79">
        <f>Raw_Data!O55</f>
        <v>31</v>
      </c>
      <c r="E79">
        <f>Raw_Data!P55</f>
        <v>29.7</v>
      </c>
      <c r="F79">
        <f>Raw_Data!Q55</f>
        <v>28</v>
      </c>
      <c r="G79">
        <f>Raw_Data!R55</f>
        <v>27</v>
      </c>
      <c r="H79">
        <f>Raw_Data!S55</f>
        <v>26.8</v>
      </c>
    </row>
    <row r="80" spans="1:8" x14ac:dyDescent="0.25">
      <c r="A80" t="str">
        <f>Raw_Data!B55</f>
        <v>Y</v>
      </c>
      <c r="B80">
        <f>MLX_R!B80</f>
        <v>36.799999999999997</v>
      </c>
      <c r="C80">
        <f>MLX_R!C80</f>
        <v>24</v>
      </c>
      <c r="D80">
        <f>Raw_Data!O56</f>
        <v>31.5</v>
      </c>
      <c r="E80">
        <f>Raw_Data!P56</f>
        <v>30.2</v>
      </c>
      <c r="F80">
        <f>Raw_Data!Q56</f>
        <v>28.5</v>
      </c>
      <c r="G80">
        <f>Raw_Data!R56</f>
        <v>27.3</v>
      </c>
      <c r="H80">
        <f>Raw_Data!S56</f>
        <v>26.8</v>
      </c>
    </row>
    <row r="81" spans="1:8" x14ac:dyDescent="0.25">
      <c r="A81" t="str">
        <f>Raw_Data!B56</f>
        <v>N</v>
      </c>
      <c r="B81">
        <f>MLX_R!B81</f>
        <v>36.9</v>
      </c>
      <c r="C81">
        <f>MLX_R!C81</f>
        <v>24</v>
      </c>
      <c r="D81">
        <f>Raw_Data!O57</f>
        <v>31.7</v>
      </c>
      <c r="E81">
        <f>Raw_Data!P57</f>
        <v>30</v>
      </c>
      <c r="F81">
        <f>Raw_Data!Q57</f>
        <v>28.5</v>
      </c>
      <c r="G81">
        <f>Raw_Data!R57</f>
        <v>27.2</v>
      </c>
      <c r="H81">
        <f>Raw_Data!S57</f>
        <v>26.6</v>
      </c>
    </row>
    <row r="82" spans="1:8" x14ac:dyDescent="0.25">
      <c r="C82" t="s">
        <v>58</v>
      </c>
      <c r="D82">
        <f>AVERAGEIF(A69:A81,"=Y",D69:D81)</f>
        <v>31.620000000000005</v>
      </c>
      <c r="E82">
        <f>AVERAGE(E69:E81)</f>
        <v>30.584615384615383</v>
      </c>
      <c r="F82">
        <f>AVERAGE(F69:F81)</f>
        <v>28.876923076923074</v>
      </c>
      <c r="G82">
        <f>AVERAGE(G69:G81)</f>
        <v>27.438461538461542</v>
      </c>
      <c r="H82">
        <f>AVERAGE(H69:H81)</f>
        <v>26.353846153846156</v>
      </c>
    </row>
    <row r="83" spans="1:8" x14ac:dyDescent="0.25">
      <c r="C83" t="s">
        <v>17</v>
      </c>
      <c r="D83">
        <f>_xlfn.STDEV.S(D70,D73,D75,D77,D80)</f>
        <v>0.37013511046643621</v>
      </c>
      <c r="E83">
        <f>_xlfn.STDEV.S(E70,E73,E75,E77,E80)</f>
        <v>0.36331804249169952</v>
      </c>
      <c r="F83">
        <f>_xlfn.STDEV.S(F70,F73,F75,F77,F80)</f>
        <v>0.90443352436760116</v>
      </c>
      <c r="G83">
        <f>_xlfn.STDEV.S(G70,G73,G75,G77,G80)</f>
        <v>0.29154759474226521</v>
      </c>
      <c r="H83">
        <f>_xlfn.STDEV.S(H70,H73,H75,H77,H80)</f>
        <v>0.30822070014844916</v>
      </c>
    </row>
    <row r="84" spans="1:8" x14ac:dyDescent="0.25">
      <c r="C84" t="s">
        <v>59</v>
      </c>
      <c r="D84">
        <f>AVERAGEIF(A69:A81,"=N",D69:D81)</f>
        <v>31.462499999999999</v>
      </c>
      <c r="E84">
        <f>AVERAGEIF(A69:A81,"=N",E69:E81)</f>
        <v>30.525000000000002</v>
      </c>
      <c r="F84">
        <f>AVERAGEIF(A69:A81,"=N",F69:F81)</f>
        <v>28.7</v>
      </c>
      <c r="G84">
        <f>AVERAGEIF(A69:A81,"=N",G69:G81)</f>
        <v>27.462499999999999</v>
      </c>
      <c r="H84">
        <f>AVERAGEIF(A69:A81,"=N",H69:H81)</f>
        <v>26.324999999999999</v>
      </c>
    </row>
    <row r="85" spans="1:8" x14ac:dyDescent="0.25">
      <c r="C85" t="s">
        <v>17</v>
      </c>
      <c r="D85">
        <f>_xlfn.STDEV.S(D69,D71,D72,D74,D76,D78,D79,D81)</f>
        <v>0.44701390198899721</v>
      </c>
      <c r="E85">
        <f>_xlfn.STDEV.S(E69,E71,E72,E74,E76,E78,E79,E81)</f>
        <v>0.50355876377184494</v>
      </c>
      <c r="F85">
        <f>_xlfn.STDEV.S(F69,F71,F72,F74,F76,F78,F79,F81)</f>
        <v>0.61411957886299062</v>
      </c>
      <c r="G85">
        <f>_xlfn.STDEV.S(G69,G71,G72,G74,G76,G78,G79,G81)</f>
        <v>0.68230177655177948</v>
      </c>
      <c r="H85">
        <f>_xlfn.STDEV.S(H69,H71,H72,H74,H76,H78,H79,H81)</f>
        <v>0.80133816653324175</v>
      </c>
    </row>
    <row r="87" spans="1:8" x14ac:dyDescent="0.25">
      <c r="B87" t="str">
        <f t="shared" ref="B87:H87" si="3">B68</f>
        <v>body temp</v>
      </c>
      <c r="C87" t="str">
        <f t="shared" si="3"/>
        <v>ambient temp</v>
      </c>
      <c r="D87" t="str">
        <f t="shared" si="3"/>
        <v>1M</v>
      </c>
      <c r="E87" t="str">
        <f t="shared" si="3"/>
        <v>2M</v>
      </c>
      <c r="F87" t="str">
        <f t="shared" si="3"/>
        <v>3M</v>
      </c>
      <c r="G87" t="str">
        <f t="shared" si="3"/>
        <v>4M</v>
      </c>
      <c r="H87" t="str">
        <f t="shared" si="3"/>
        <v>5M</v>
      </c>
    </row>
    <row r="88" spans="1:8" x14ac:dyDescent="0.25">
      <c r="A88" t="str">
        <f>Raw_Data!B57</f>
        <v>N</v>
      </c>
      <c r="B88">
        <f>Raw_Data!C58</f>
        <v>36.700000000000003</v>
      </c>
      <c r="C88">
        <f>Raw_Data!D58</f>
        <v>25</v>
      </c>
      <c r="D88">
        <f>Raw_Data!O58</f>
        <v>31.5</v>
      </c>
      <c r="E88">
        <f>Raw_Data!P58</f>
        <v>30</v>
      </c>
      <c r="F88">
        <f>Raw_Data!Q58</f>
        <v>28.8</v>
      </c>
      <c r="G88">
        <f>Raw_Data!R58</f>
        <v>27</v>
      </c>
      <c r="H88">
        <f>Raw_Data!S58</f>
        <v>25.9</v>
      </c>
    </row>
    <row r="89" spans="1:8" x14ac:dyDescent="0.25">
      <c r="A89" t="str">
        <f>Raw_Data!B58</f>
        <v>N</v>
      </c>
      <c r="B89">
        <f>Raw_Data!C59</f>
        <v>36.799999999999997</v>
      </c>
      <c r="C89">
        <f>Raw_Data!D59</f>
        <v>25</v>
      </c>
      <c r="D89">
        <f>Raw_Data!O59</f>
        <v>31</v>
      </c>
      <c r="E89">
        <f>Raw_Data!P59</f>
        <v>29</v>
      </c>
      <c r="F89">
        <f>Raw_Data!Q59</f>
        <v>28.5</v>
      </c>
      <c r="G89">
        <f>Raw_Data!R59</f>
        <v>27</v>
      </c>
      <c r="H89">
        <f>Raw_Data!S59</f>
        <v>26</v>
      </c>
    </row>
    <row r="90" spans="1:8" x14ac:dyDescent="0.25">
      <c r="A90" t="str">
        <f>Raw_Data!B59</f>
        <v>Y</v>
      </c>
      <c r="B90">
        <f>Raw_Data!C60</f>
        <v>36.799999999999997</v>
      </c>
      <c r="C90">
        <f>Raw_Data!D60</f>
        <v>25</v>
      </c>
      <c r="D90">
        <f>Raw_Data!O60</f>
        <v>31.2</v>
      </c>
      <c r="E90">
        <f>Raw_Data!P60</f>
        <v>29.2</v>
      </c>
      <c r="F90">
        <f>Raw_Data!Q60</f>
        <v>28.8</v>
      </c>
      <c r="G90">
        <f>Raw_Data!R60</f>
        <v>27.7</v>
      </c>
      <c r="H90">
        <f>Raw_Data!S60</f>
        <v>26.3</v>
      </c>
    </row>
    <row r="91" spans="1:8" x14ac:dyDescent="0.25">
      <c r="A91" t="str">
        <f>Raw_Data!B60</f>
        <v>N</v>
      </c>
      <c r="B91">
        <f>Raw_Data!C61</f>
        <v>36.9</v>
      </c>
      <c r="C91">
        <f>Raw_Data!D61</f>
        <v>25</v>
      </c>
      <c r="D91">
        <f>Raw_Data!O61</f>
        <v>30.5</v>
      </c>
      <c r="E91">
        <f>Raw_Data!P61</f>
        <v>29.9</v>
      </c>
      <c r="F91">
        <f>Raw_Data!Q61</f>
        <v>29</v>
      </c>
      <c r="G91">
        <f>Raw_Data!R61</f>
        <v>28</v>
      </c>
      <c r="H91">
        <f>Raw_Data!S61</f>
        <v>27</v>
      </c>
    </row>
    <row r="92" spans="1:8" x14ac:dyDescent="0.25">
      <c r="A92" t="str">
        <f>Raw_Data!B61</f>
        <v>Y</v>
      </c>
      <c r="B92">
        <f>Raw_Data!C62</f>
        <v>36.9</v>
      </c>
      <c r="C92">
        <f>Raw_Data!D62</f>
        <v>25</v>
      </c>
      <c r="D92">
        <f>Raw_Data!O62</f>
        <v>30.6</v>
      </c>
      <c r="E92">
        <f>Raw_Data!P62</f>
        <v>30</v>
      </c>
      <c r="F92">
        <f>Raw_Data!Q62</f>
        <v>29.4</v>
      </c>
      <c r="G92">
        <f>Raw_Data!R62</f>
        <v>28.7</v>
      </c>
      <c r="H92">
        <f>Raw_Data!S62</f>
        <v>27.2</v>
      </c>
    </row>
    <row r="93" spans="1:8" x14ac:dyDescent="0.25">
      <c r="A93" t="str">
        <f>Raw_Data!B62</f>
        <v>N</v>
      </c>
      <c r="B93">
        <f>Raw_Data!C63</f>
        <v>36.9</v>
      </c>
      <c r="C93">
        <f>Raw_Data!D63</f>
        <v>25</v>
      </c>
      <c r="D93">
        <f>Raw_Data!O63</f>
        <v>30.8</v>
      </c>
      <c r="E93">
        <f>Raw_Data!P63</f>
        <v>30.2</v>
      </c>
      <c r="F93">
        <f>Raw_Data!Q63</f>
        <v>29.4</v>
      </c>
      <c r="G93">
        <f>Raw_Data!R63</f>
        <v>28</v>
      </c>
      <c r="H93">
        <f>Raw_Data!S63</f>
        <v>27</v>
      </c>
    </row>
    <row r="94" spans="1:8" x14ac:dyDescent="0.25">
      <c r="A94" t="str">
        <f>Raw_Data!B63</f>
        <v>N</v>
      </c>
      <c r="B94">
        <f>Raw_Data!C64</f>
        <v>36.6</v>
      </c>
      <c r="C94">
        <f>Raw_Data!D64</f>
        <v>25</v>
      </c>
      <c r="D94">
        <f>Raw_Data!O64</f>
        <v>31</v>
      </c>
      <c r="E94">
        <f>Raw_Data!P64</f>
        <v>30.2</v>
      </c>
      <c r="F94">
        <f>Raw_Data!Q64</f>
        <v>29</v>
      </c>
      <c r="G94">
        <f>Raw_Data!R64</f>
        <v>28.3</v>
      </c>
      <c r="H94">
        <f>Raw_Data!S64</f>
        <v>27</v>
      </c>
    </row>
    <row r="95" spans="1:8" x14ac:dyDescent="0.25">
      <c r="A95" t="str">
        <f>Raw_Data!B64</f>
        <v>Y</v>
      </c>
      <c r="B95">
        <f>Raw_Data!C65</f>
        <v>36.6</v>
      </c>
      <c r="C95">
        <f>Raw_Data!D65</f>
        <v>25</v>
      </c>
      <c r="D95">
        <f>Raw_Data!O65</f>
        <v>31.4</v>
      </c>
      <c r="E95">
        <f>Raw_Data!P65</f>
        <v>30.2</v>
      </c>
      <c r="F95">
        <f>Raw_Data!Q65</f>
        <v>29.2</v>
      </c>
      <c r="G95">
        <f>Raw_Data!R65</f>
        <v>28.6</v>
      </c>
      <c r="H95">
        <f>Raw_Data!S65</f>
        <v>27</v>
      </c>
    </row>
    <row r="96" spans="1:8" x14ac:dyDescent="0.25">
      <c r="A96" t="str">
        <f>Raw_Data!B65</f>
        <v>N</v>
      </c>
      <c r="B96">
        <f>Raw_Data!C66</f>
        <v>36.700000000000003</v>
      </c>
      <c r="C96">
        <f>Raw_Data!D66</f>
        <v>25</v>
      </c>
      <c r="D96">
        <f>Raw_Data!O66</f>
        <v>31.2</v>
      </c>
      <c r="E96">
        <f>Raw_Data!P66</f>
        <v>29.5</v>
      </c>
      <c r="F96">
        <f>Raw_Data!Q66</f>
        <v>28.4</v>
      </c>
      <c r="G96">
        <f>Raw_Data!R66</f>
        <v>27.3</v>
      </c>
      <c r="H96">
        <f>Raw_Data!S66</f>
        <v>26.5</v>
      </c>
    </row>
    <row r="97" spans="1:8" x14ac:dyDescent="0.25">
      <c r="A97" t="str">
        <f>Raw_Data!B66</f>
        <v>N</v>
      </c>
      <c r="B97">
        <f>Raw_Data!C67</f>
        <v>36.9</v>
      </c>
      <c r="C97">
        <f>Raw_Data!D67</f>
        <v>25</v>
      </c>
      <c r="D97">
        <f>Raw_Data!O67</f>
        <v>31.1</v>
      </c>
      <c r="E97">
        <f>Raw_Data!P67</f>
        <v>30</v>
      </c>
      <c r="F97">
        <f>Raw_Data!Q67</f>
        <v>29.2</v>
      </c>
      <c r="G97">
        <f>Raw_Data!R67</f>
        <v>28.1</v>
      </c>
      <c r="H97">
        <f>Raw_Data!S67</f>
        <v>27</v>
      </c>
    </row>
    <row r="98" spans="1:8" x14ac:dyDescent="0.25">
      <c r="A98" t="str">
        <f>Raw_Data!B67</f>
        <v>N</v>
      </c>
      <c r="B98">
        <f>Raw_Data!C68</f>
        <v>36.799999999999997</v>
      </c>
      <c r="C98">
        <f>Raw_Data!D68</f>
        <v>25</v>
      </c>
      <c r="D98">
        <f>Raw_Data!O68</f>
        <v>31.4</v>
      </c>
      <c r="E98">
        <f>Raw_Data!P68</f>
        <v>30.8</v>
      </c>
      <c r="F98">
        <f>Raw_Data!Q68</f>
        <v>29.5</v>
      </c>
      <c r="G98">
        <f>Raw_Data!R68</f>
        <v>27.8</v>
      </c>
      <c r="H98">
        <f>Raw_Data!S68</f>
        <v>26.5</v>
      </c>
    </row>
    <row r="99" spans="1:8" x14ac:dyDescent="0.25">
      <c r="A99" t="str">
        <f>Raw_Data!B68</f>
        <v>N</v>
      </c>
      <c r="B99">
        <f>Raw_Data!C69</f>
        <v>36.6</v>
      </c>
      <c r="C99">
        <f>Raw_Data!D69</f>
        <v>25</v>
      </c>
      <c r="D99">
        <f>Raw_Data!O69</f>
        <v>29.2</v>
      </c>
      <c r="E99">
        <f>Raw_Data!P69</f>
        <v>27.7</v>
      </c>
      <c r="F99">
        <f>Raw_Data!Q69</f>
        <v>26.2</v>
      </c>
      <c r="G99">
        <f>Raw_Data!R69</f>
        <v>24.1</v>
      </c>
      <c r="H99">
        <f>Raw_Data!S69</f>
        <v>23.9</v>
      </c>
    </row>
    <row r="100" spans="1:8" x14ac:dyDescent="0.25">
      <c r="A100" t="str">
        <f>Raw_Data!B69</f>
        <v>Y</v>
      </c>
      <c r="B100">
        <f>Raw_Data!C70</f>
        <v>36.6</v>
      </c>
      <c r="C100">
        <f>Raw_Data!D70</f>
        <v>25</v>
      </c>
      <c r="D100">
        <f>Raw_Data!O70</f>
        <v>28.9</v>
      </c>
      <c r="E100">
        <f>Raw_Data!P70</f>
        <v>29.1</v>
      </c>
      <c r="F100">
        <f>Raw_Data!Q70</f>
        <v>26.6</v>
      </c>
      <c r="G100">
        <f>Raw_Data!R70</f>
        <v>24.2</v>
      </c>
      <c r="H100">
        <f>Raw_Data!S70</f>
        <v>24.6</v>
      </c>
    </row>
    <row r="101" spans="1:8" x14ac:dyDescent="0.25">
      <c r="C101" t="s">
        <v>58</v>
      </c>
      <c r="D101">
        <f>AVERAGEIF(A88:A100,"=Y",D88:D100)</f>
        <v>30.524999999999999</v>
      </c>
      <c r="E101">
        <f>AVERAGEIF(A88:A100,"=Y",E88:E100)</f>
        <v>29.625</v>
      </c>
      <c r="F101">
        <f>AVERAGEIF(A88:A100,"=Y",F88:F100)</f>
        <v>28.5</v>
      </c>
      <c r="G101">
        <f>AVERAGEIF(A88:A100,"=Y",G88:G100)</f>
        <v>27.3</v>
      </c>
      <c r="H101">
        <f>AVERAGEIF(A88:A100,"=Y",H88:H100)</f>
        <v>26.274999999999999</v>
      </c>
    </row>
    <row r="102" spans="1:8" x14ac:dyDescent="0.25">
      <c r="C102" t="s">
        <v>17</v>
      </c>
      <c r="D102">
        <f>_xlfn.STDEV.S(D90,D92,D95,D100)</f>
        <v>1.1354147553500735</v>
      </c>
      <c r="E102">
        <f>_xlfn.STDEV.S(E90,E92,E95,E100)</f>
        <v>0.55602757725374208</v>
      </c>
      <c r="F102">
        <f>_xlfn.STDEV.S(F90,F92,F95,F100)</f>
        <v>1.2909944487358045</v>
      </c>
      <c r="G102">
        <f>_xlfn.STDEV.S(G90,G92,G95,G100)</f>
        <v>2.1150256105620411</v>
      </c>
      <c r="H102">
        <f>_xlfn.STDEV.S(H90,H92,H95,H100)</f>
        <v>1.1814539065631513</v>
      </c>
    </row>
    <row r="103" spans="1:8" x14ac:dyDescent="0.25">
      <c r="C103" t="s">
        <v>59</v>
      </c>
      <c r="D103">
        <f>AVERAGEIF(A88:A100,"=N",D88:D100)</f>
        <v>30.855555555555554</v>
      </c>
      <c r="E103">
        <f>AVERAGEIF(A88:A100,"=N",E88:E100)</f>
        <v>29.700000000000003</v>
      </c>
      <c r="F103">
        <f>AVERAGEIF(A88:A100,"=N",F88:F100)</f>
        <v>28.666666666666668</v>
      </c>
      <c r="G103">
        <f>AVERAGEIF(A88:A100,"=N",G88:G100)</f>
        <v>27.288888888888891</v>
      </c>
      <c r="H103">
        <f>AVERAGEIF(A88:A100,"=N",H88:H100)</f>
        <v>26.311111111111114</v>
      </c>
    </row>
    <row r="104" spans="1:8" x14ac:dyDescent="0.25">
      <c r="C104" t="s">
        <v>17</v>
      </c>
      <c r="D104">
        <f>_xlfn.STDEV.S(D88,D89,D91,D93,D94,D96,D97,D98,D99)</f>
        <v>0.68940392933154793</v>
      </c>
      <c r="E104">
        <f>_xlfn.STDEV.S(E88,E89,E91,E93,E94,E96,E97,E98,E99)</f>
        <v>0.89861003778057158</v>
      </c>
      <c r="F104">
        <f>_xlfn.STDEV.S(F88,F89,F91,F93,F94,F96,F97,F98,F99)</f>
        <v>0.99624294225856391</v>
      </c>
      <c r="G104">
        <f>_xlfn.STDEV.S(G88,G89,G91,G93,G94,G96,G97,G98,G99)</f>
        <v>1.2888409952787467</v>
      </c>
      <c r="H104">
        <f>_xlfn.STDEV.S(H88,H89,H91,H93,H94,H96,H97,H98,H99)</f>
        <v>1.0030509015554057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47E0-8D85-41DE-AD37-BC75B85D2A65}">
  <dimension ref="A1:O16"/>
  <sheetViews>
    <sheetView topLeftCell="A5" workbookViewId="0">
      <selection activeCell="K21" sqref="K21"/>
    </sheetView>
  </sheetViews>
  <sheetFormatPr defaultRowHeight="13.2" x14ac:dyDescent="0.25"/>
  <cols>
    <col min="2" max="2" width="17" customWidth="1"/>
    <col min="3" max="3" width="17.77734375" customWidth="1"/>
    <col min="4" max="4" width="17.109375" customWidth="1"/>
    <col min="5" max="5" width="18" customWidth="1"/>
    <col min="6" max="6" width="18.21875" customWidth="1"/>
    <col min="7" max="7" width="16.6640625" customWidth="1"/>
    <col min="10" max="10" width="17.44140625" customWidth="1"/>
    <col min="11" max="11" width="17.33203125" customWidth="1"/>
    <col min="12" max="12" width="17.5546875" customWidth="1"/>
    <col min="13" max="13" width="17.44140625" customWidth="1"/>
    <col min="14" max="14" width="17.33203125" customWidth="1"/>
    <col min="15" max="15" width="18.109375" customWidth="1"/>
  </cols>
  <sheetData>
    <row r="1" spans="1:15" ht="14.4" x14ac:dyDescent="0.3">
      <c r="A1" s="3" t="s">
        <v>68</v>
      </c>
      <c r="B1" s="3"/>
      <c r="C1" s="3"/>
      <c r="D1" s="3"/>
      <c r="E1" s="3"/>
      <c r="F1" s="3"/>
      <c r="I1" s="3" t="s">
        <v>69</v>
      </c>
      <c r="J1" s="3"/>
      <c r="K1" s="3"/>
    </row>
    <row r="2" spans="1:15" ht="14.4" x14ac:dyDescent="0.3">
      <c r="A2" s="3" t="str">
        <f>[1]Avarageateachdistance!A1</f>
        <v>Distance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  <c r="I2" s="3" t="s">
        <v>18</v>
      </c>
      <c r="J2" s="3" t="s">
        <v>38</v>
      </c>
      <c r="K2" s="3" t="s">
        <v>34</v>
      </c>
      <c r="L2" s="3" t="s">
        <v>39</v>
      </c>
      <c r="M2" s="3" t="s">
        <v>35</v>
      </c>
      <c r="N2" s="3" t="s">
        <v>36</v>
      </c>
      <c r="O2" s="3" t="s">
        <v>37</v>
      </c>
    </row>
    <row r="3" spans="1:15" x14ac:dyDescent="0.25">
      <c r="A3">
        <v>1</v>
      </c>
      <c r="B3">
        <f>'RS_T-10'!D16</f>
        <v>30.22</v>
      </c>
      <c r="C3">
        <f>'RS_T-10'!D33</f>
        <v>29.7</v>
      </c>
      <c r="D3">
        <f>'RS_T-10'!D47</f>
        <v>30.266666666666666</v>
      </c>
      <c r="E3">
        <f>'RS_T-10'!D63</f>
        <v>29.966666666666669</v>
      </c>
      <c r="F3">
        <f>'RS_T-10'!D82</f>
        <v>31.620000000000005</v>
      </c>
      <c r="G3">
        <f>'RS_T-10'!D101</f>
        <v>30.524999999999999</v>
      </c>
      <c r="I3">
        <v>1</v>
      </c>
      <c r="J3">
        <f>'RS_T-10'!D17</f>
        <v>1.0917875251164944</v>
      </c>
      <c r="K3">
        <f>'RS_T-10'!D34</f>
        <v>0.66833125519211378</v>
      </c>
      <c r="L3">
        <f>'RS_T-10'!D48</f>
        <v>0.68068592855540488</v>
      </c>
      <c r="M3">
        <f>'RS_T-10'!D64</f>
        <v>0.28867513459481292</v>
      </c>
      <c r="N3">
        <f>'RS_T-10'!D83</f>
        <v>0.37013511046643621</v>
      </c>
      <c r="O3">
        <f>'RS_T-10'!D102</f>
        <v>1.1354147553500735</v>
      </c>
    </row>
    <row r="4" spans="1:15" x14ac:dyDescent="0.25">
      <c r="A4">
        <v>2</v>
      </c>
      <c r="B4">
        <f>'RS_T-10'!E16</f>
        <v>27.839999999999996</v>
      </c>
      <c r="C4">
        <f>'RS_T-10'!E33</f>
        <v>27.25</v>
      </c>
      <c r="D4">
        <f>'RS_T-10'!E47</f>
        <v>28.733333333333334</v>
      </c>
      <c r="E4">
        <f>'RS_T-10'!E63</f>
        <v>28.8</v>
      </c>
      <c r="F4">
        <f>'RS_T-10'!E82</f>
        <v>30.584615384615383</v>
      </c>
      <c r="G4">
        <f>'RS_T-10'!E101</f>
        <v>29.625</v>
      </c>
      <c r="I4">
        <v>2</v>
      </c>
      <c r="J4">
        <f>'RS_T-10'!E17</f>
        <v>1.5501612819316575</v>
      </c>
      <c r="K4">
        <f>'RS_T-10'!E34</f>
        <v>1.2013880860626733</v>
      </c>
      <c r="L4">
        <f>'RS_T-10'!E48</f>
        <v>0.30550504633039016</v>
      </c>
      <c r="M4">
        <f>'RS_T-10'!E64</f>
        <v>0.52915026221291828</v>
      </c>
      <c r="N4">
        <f>'RS_T-10'!E83</f>
        <v>0.36331804249169952</v>
      </c>
      <c r="O4">
        <f>'RS_T-10'!E102</f>
        <v>0.55602757725374208</v>
      </c>
    </row>
    <row r="5" spans="1:15" x14ac:dyDescent="0.25">
      <c r="A5">
        <v>3</v>
      </c>
      <c r="B5">
        <f>'RS_T-10'!F16</f>
        <v>25.18</v>
      </c>
      <c r="C5">
        <f>'RS_T-10'!F33</f>
        <v>25.85</v>
      </c>
      <c r="D5">
        <f>'RS_T-10'!F47</f>
        <v>27.099999999999998</v>
      </c>
      <c r="E5">
        <f>'RS_T-10'!F63</f>
        <v>27.766666666666666</v>
      </c>
      <c r="F5">
        <f>'RS_T-10'!F82</f>
        <v>28.876923076923074</v>
      </c>
      <c r="G5">
        <f>'RS_T-10'!F101</f>
        <v>28.5</v>
      </c>
      <c r="I5">
        <v>3</v>
      </c>
      <c r="J5">
        <f>'RS_T-10'!F17</f>
        <v>1.0639548862616315</v>
      </c>
      <c r="K5">
        <f>'RS_T-10'!F34</f>
        <v>1.3304134695650074</v>
      </c>
      <c r="L5">
        <f>'RS_T-10'!F48</f>
        <v>0.36055512754639862</v>
      </c>
      <c r="M5">
        <f>'RS_T-10'!F64</f>
        <v>0.8144527815247079</v>
      </c>
      <c r="N5">
        <f>'RS_T-10'!F83</f>
        <v>0.90443352436760116</v>
      </c>
      <c r="O5">
        <f>'RS_T-10'!F102</f>
        <v>1.2909944487358045</v>
      </c>
    </row>
    <row r="6" spans="1:15" x14ac:dyDescent="0.25">
      <c r="A6">
        <v>4</v>
      </c>
      <c r="B6">
        <f>'RS_T-10'!G16</f>
        <v>23.360000000000003</v>
      </c>
      <c r="C6">
        <f>'RS_T-10'!G33</f>
        <v>23.324999999999999</v>
      </c>
      <c r="D6">
        <f>'RS_T-10'!G47</f>
        <v>25.033333333333331</v>
      </c>
      <c r="E6">
        <f>'RS_T-10'!G63</f>
        <v>26.866666666666664</v>
      </c>
      <c r="F6">
        <f>'RS_T-10'!G82</f>
        <v>27.438461538461542</v>
      </c>
      <c r="G6">
        <f>'RS_T-10'!G101</f>
        <v>27.3</v>
      </c>
      <c r="I6">
        <v>4</v>
      </c>
      <c r="J6">
        <f>'RS_T-10'!G17</f>
        <v>0.97108187090481735</v>
      </c>
      <c r="K6">
        <f>'RS_T-10'!G34</f>
        <v>0.942956343987709</v>
      </c>
      <c r="L6">
        <f>'RS_T-10'!G48</f>
        <v>0.76376261582597327</v>
      </c>
      <c r="M6">
        <f>'RS_T-10'!G64</f>
        <v>0.90184995056457917</v>
      </c>
      <c r="N6">
        <f>'RS_T-10'!G83</f>
        <v>0.29154759474226521</v>
      </c>
      <c r="O6">
        <f>'RS_T-10'!G102</f>
        <v>2.1150256105620411</v>
      </c>
    </row>
    <row r="7" spans="1:15" x14ac:dyDescent="0.25">
      <c r="A7">
        <v>5</v>
      </c>
      <c r="B7">
        <f>'RS_T-10'!H16</f>
        <v>22.1</v>
      </c>
      <c r="C7">
        <f>'RS_T-10'!H33</f>
        <v>21.3</v>
      </c>
      <c r="D7">
        <f>'RS_T-10'!H47</f>
        <v>22.433333333333334</v>
      </c>
      <c r="E7">
        <f>'RS_T-10'!H63</f>
        <v>24.733333333333334</v>
      </c>
      <c r="F7">
        <f>'RS_T-10'!H82</f>
        <v>26.353846153846156</v>
      </c>
      <c r="G7">
        <f>'RS_T-10'!H101</f>
        <v>26.274999999999999</v>
      </c>
      <c r="I7">
        <v>5</v>
      </c>
      <c r="J7">
        <f>'RS_T-10'!H17</f>
        <v>0.96176920308356728</v>
      </c>
      <c r="K7">
        <f>'RS_T-10'!H34</f>
        <v>0.72571803523590783</v>
      </c>
      <c r="L7">
        <f>'RS_T-10'!H48</f>
        <v>5.77350269189634E-2</v>
      </c>
      <c r="M7">
        <f>'RS_T-10'!H64</f>
        <v>0.68068592855540488</v>
      </c>
      <c r="N7">
        <f>'RS_T-10'!H83</f>
        <v>0.30822070014844916</v>
      </c>
      <c r="O7">
        <f>'RS_T-10'!H102</f>
        <v>1.1814539065631513</v>
      </c>
    </row>
    <row r="10" spans="1:15" ht="14.4" x14ac:dyDescent="0.3">
      <c r="A10" s="3" t="s">
        <v>70</v>
      </c>
      <c r="B10" s="3"/>
      <c r="C10" s="3"/>
      <c r="D10" s="3"/>
      <c r="E10" s="3"/>
      <c r="F10" s="3"/>
      <c r="I10" s="3" t="s">
        <v>71</v>
      </c>
      <c r="J10" s="3"/>
      <c r="K10" s="3"/>
    </row>
    <row r="11" spans="1:15" ht="14.4" x14ac:dyDescent="0.3">
      <c r="A11" s="3" t="s">
        <v>18</v>
      </c>
      <c r="B11" s="3" t="s">
        <v>102</v>
      </c>
      <c r="C11" s="3" t="s">
        <v>103</v>
      </c>
      <c r="D11" s="3" t="s">
        <v>104</v>
      </c>
      <c r="E11" s="3" t="s">
        <v>105</v>
      </c>
      <c r="F11" s="3" t="s">
        <v>106</v>
      </c>
      <c r="G11" s="3" t="s">
        <v>107</v>
      </c>
      <c r="I11" s="3" t="s">
        <v>18</v>
      </c>
      <c r="J11" s="3" t="s">
        <v>38</v>
      </c>
      <c r="K11" s="3" t="s">
        <v>34</v>
      </c>
      <c r="L11" s="3" t="s">
        <v>39</v>
      </c>
      <c r="M11" s="3" t="s">
        <v>35</v>
      </c>
      <c r="N11" s="3" t="s">
        <v>36</v>
      </c>
      <c r="O11" s="3" t="s">
        <v>37</v>
      </c>
    </row>
    <row r="12" spans="1:15" x14ac:dyDescent="0.25">
      <c r="A12">
        <v>1</v>
      </c>
      <c r="B12">
        <f>'RS_T-10'!D18</f>
        <v>30.024999999999999</v>
      </c>
      <c r="C12">
        <f>'RS_T-10'!D35</f>
        <v>30.085714285714289</v>
      </c>
      <c r="D12">
        <f>'RS_T-10'!D49</f>
        <v>29.54</v>
      </c>
      <c r="E12">
        <f>'RS_T-10'!D65</f>
        <v>29.957142857142859</v>
      </c>
      <c r="F12">
        <f>'RS_T-10'!D84</f>
        <v>31.462499999999999</v>
      </c>
      <c r="G12">
        <f>'RS_T-10'!D103</f>
        <v>30.855555555555554</v>
      </c>
      <c r="I12">
        <v>1</v>
      </c>
      <c r="J12">
        <f>'RS_T-10'!D19</f>
        <v>0.7382411530116697</v>
      </c>
      <c r="K12">
        <f>'RS_T-10'!D36</f>
        <v>0.75592894601845417</v>
      </c>
      <c r="L12">
        <f>'RS_T-10'!D66</f>
        <v>0.47559486560567077</v>
      </c>
      <c r="M12">
        <f>'RS_T-10'!D66</f>
        <v>0.47559486560567077</v>
      </c>
      <c r="N12">
        <f>'RS_T-10'!D85</f>
        <v>0.44701390198899721</v>
      </c>
      <c r="O12">
        <f>'RS_T-10'!D104</f>
        <v>0.68940392933154793</v>
      </c>
    </row>
    <row r="13" spans="1:15" x14ac:dyDescent="0.25">
      <c r="A13">
        <v>2</v>
      </c>
      <c r="B13">
        <f>'RS_T-10'!E18</f>
        <v>27.987499999999997</v>
      </c>
      <c r="C13">
        <f>'RS_T-10'!E35</f>
        <v>27.657142857142855</v>
      </c>
      <c r="D13">
        <f>'RS_T-10'!E49</f>
        <v>27.919999999999998</v>
      </c>
      <c r="E13">
        <f>'RS_T-10'!E65</f>
        <v>28.285714285714285</v>
      </c>
      <c r="F13">
        <f>'RS_T-10'!E84</f>
        <v>30.525000000000002</v>
      </c>
      <c r="G13">
        <f>'RS_T-10'!E103</f>
        <v>29.700000000000003</v>
      </c>
      <c r="I13">
        <v>2</v>
      </c>
      <c r="J13">
        <f>'RS_T-10'!E19</f>
        <v>1.4257203692970692</v>
      </c>
      <c r="K13">
        <f>'RS_T-10'!E36</f>
        <v>1.1073348527841416</v>
      </c>
      <c r="L13">
        <f>'RS_T-10'!E66</f>
        <v>0.64142698058981884</v>
      </c>
      <c r="M13">
        <f>'RS_T-10'!E66</f>
        <v>0.64142698058981884</v>
      </c>
      <c r="N13">
        <f>'RS_T-10'!E85</f>
        <v>0.50355876377184494</v>
      </c>
      <c r="O13">
        <f>'RS_T-10'!E104</f>
        <v>0.89861003778057158</v>
      </c>
    </row>
    <row r="14" spans="1:15" x14ac:dyDescent="0.25">
      <c r="A14">
        <v>3</v>
      </c>
      <c r="B14">
        <f>'RS_T-10'!F18</f>
        <v>25.925000000000001</v>
      </c>
      <c r="C14">
        <f>'RS_T-10'!F35</f>
        <v>25.857142857142858</v>
      </c>
      <c r="D14">
        <f>'RS_T-10'!F49</f>
        <v>26.24</v>
      </c>
      <c r="E14">
        <f>'RS_T-10'!F65</f>
        <v>27.185714285714287</v>
      </c>
      <c r="F14">
        <f>'RS_T-10'!F84</f>
        <v>28.7</v>
      </c>
      <c r="G14">
        <f>'RS_T-10'!F103</f>
        <v>28.666666666666668</v>
      </c>
      <c r="I14">
        <v>3</v>
      </c>
      <c r="J14">
        <f>'RS_T-10'!F19</f>
        <v>0.4062019202317978</v>
      </c>
      <c r="K14">
        <f>'RS_T-10'!F36</f>
        <v>1.2817398889233116</v>
      </c>
      <c r="L14">
        <f>'RS_T-10'!F66</f>
        <v>0.75150642363316178</v>
      </c>
      <c r="M14">
        <f>'RS_T-10'!F66</f>
        <v>0.75150642363316178</v>
      </c>
      <c r="N14">
        <f>'RS_T-10'!F85</f>
        <v>0.61411957886299062</v>
      </c>
      <c r="O14">
        <f>'RS_T-10'!F104</f>
        <v>0.99624294225856391</v>
      </c>
    </row>
    <row r="15" spans="1:15" x14ac:dyDescent="0.25">
      <c r="A15">
        <v>4</v>
      </c>
      <c r="B15">
        <f>'RS_T-10'!G18</f>
        <v>23.974999999999998</v>
      </c>
      <c r="C15">
        <f>'RS_T-10'!G35</f>
        <v>23.814285714285713</v>
      </c>
      <c r="D15">
        <f>'RS_T-10'!G49</f>
        <v>24.68</v>
      </c>
      <c r="E15">
        <f>'RS_T-10'!G65</f>
        <v>25.942857142857143</v>
      </c>
      <c r="F15">
        <f>'RS_T-10'!G84</f>
        <v>27.462499999999999</v>
      </c>
      <c r="G15">
        <f>'RS_T-10'!G103</f>
        <v>27.288888888888891</v>
      </c>
      <c r="I15">
        <v>4</v>
      </c>
      <c r="J15">
        <f>'RS_T-10'!G19</f>
        <v>0.80133816653324175</v>
      </c>
      <c r="K15">
        <f>'RS_T-10'!G36</f>
        <v>1.2928374110570018</v>
      </c>
      <c r="L15">
        <f>'RS_T-10'!G66</f>
        <v>0.99976187641048309</v>
      </c>
      <c r="M15">
        <f>'RS_T-10'!G66</f>
        <v>0.99976187641048309</v>
      </c>
      <c r="N15">
        <f>'RS_T-10'!G85</f>
        <v>0.68230177655177948</v>
      </c>
      <c r="O15">
        <f>'RS_T-10'!G104</f>
        <v>1.2888409952787467</v>
      </c>
    </row>
    <row r="16" spans="1:15" x14ac:dyDescent="0.25">
      <c r="A16">
        <v>5</v>
      </c>
      <c r="B16">
        <f>'RS_T-10'!H18</f>
        <v>22.462499999999999</v>
      </c>
      <c r="C16">
        <f>'RS_T-10'!H35</f>
        <v>22.442857142857147</v>
      </c>
      <c r="D16">
        <f>'RS_T-10'!H49</f>
        <v>22.48</v>
      </c>
      <c r="E16">
        <f>'RS_T-10'!H65</f>
        <v>24.214285714285715</v>
      </c>
      <c r="F16">
        <f>'RS_T-10'!H84</f>
        <v>26.324999999999999</v>
      </c>
      <c r="G16">
        <f>'RS_T-10'!H103</f>
        <v>26.311111111111114</v>
      </c>
      <c r="I16">
        <v>5</v>
      </c>
      <c r="J16">
        <f>'RS_T-10'!H19</f>
        <v>1.157506556599758</v>
      </c>
      <c r="K16">
        <f>'RS_T-10'!H36</f>
        <v>0.9778499251881525</v>
      </c>
      <c r="L16">
        <f>'RS_T-10'!H66</f>
        <v>0.72670161558595547</v>
      </c>
      <c r="M16">
        <f>'RS_T-10'!H66</f>
        <v>0.72670161558595547</v>
      </c>
      <c r="N16">
        <f>'RS_T-10'!H85</f>
        <v>0.80133816653324175</v>
      </c>
      <c r="O16">
        <f>'RS_T-10'!H104</f>
        <v>1.0030509015554057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7182-6DD0-4F17-91D9-F3341772E4EA}">
  <dimension ref="A1"/>
  <sheetViews>
    <sheetView topLeftCell="A18" workbookViewId="0">
      <selection activeCell="S2" sqref="S2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B9B7-E4A2-4AB9-A0F2-E9E7088615ED}">
  <dimension ref="A1"/>
  <sheetViews>
    <sheetView topLeftCell="A13" workbookViewId="0">
      <selection activeCell="R6" sqref="R6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BF5D-FE65-471B-914E-A3A5595DDF45}">
  <dimension ref="A1"/>
  <sheetViews>
    <sheetView topLeftCell="A9" workbookViewId="0">
      <selection activeCell="A9" sqref="A9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486D-7AC3-42AB-A3CE-D267C3265190}">
  <dimension ref="A1"/>
  <sheetViews>
    <sheetView topLeftCell="A7" workbookViewId="0">
      <selection activeCell="S28" sqref="S28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CECE-9166-4747-860C-71E8136C7725}">
  <dimension ref="A1"/>
  <sheetViews>
    <sheetView workbookViewId="0">
      <selection activeCell="T8" sqref="T8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F868-A2E9-4820-8C4B-6AA7F5B5D3C3}">
  <dimension ref="A1"/>
  <sheetViews>
    <sheetView workbookViewId="0">
      <selection activeCell="W18" sqref="W18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CA20-0757-47B9-9921-D51906E07676}">
  <dimension ref="A1:S70"/>
  <sheetViews>
    <sheetView workbookViewId="0">
      <selection activeCell="C3" sqref="C3"/>
    </sheetView>
  </sheetViews>
  <sheetFormatPr defaultRowHeight="13.2" x14ac:dyDescent="0.25"/>
  <cols>
    <col min="1" max="1" width="3.77734375" customWidth="1"/>
    <col min="2" max="2" width="7.21875" customWidth="1"/>
    <col min="3" max="3" width="10" customWidth="1"/>
    <col min="4" max="4" width="12.88671875" customWidth="1"/>
  </cols>
  <sheetData>
    <row r="1" spans="1:19" x14ac:dyDescent="0.25">
      <c r="A1" s="4">
        <f>Raw_Data!A1</f>
        <v>0</v>
      </c>
      <c r="B1" s="4">
        <f>Raw_Data!B1</f>
        <v>0</v>
      </c>
      <c r="C1" s="4">
        <f>Raw_Data!C1</f>
        <v>0</v>
      </c>
      <c r="D1" s="4">
        <f>Raw_Data!D1</f>
        <v>0</v>
      </c>
      <c r="E1" s="4" t="s">
        <v>40</v>
      </c>
      <c r="F1" s="4">
        <f>Raw_Data!F1</f>
        <v>0</v>
      </c>
      <c r="G1" s="4">
        <f>Raw_Data!G1</f>
        <v>0</v>
      </c>
      <c r="H1" s="4">
        <f>Raw_Data!H1</f>
        <v>0</v>
      </c>
      <c r="I1" s="4">
        <f>Raw_Data!I1</f>
        <v>0</v>
      </c>
      <c r="J1" s="4" t="s">
        <v>41</v>
      </c>
      <c r="K1" s="4">
        <f>Raw_Data!K1</f>
        <v>0</v>
      </c>
      <c r="L1" s="4">
        <f>Raw_Data!L1</f>
        <v>0</v>
      </c>
      <c r="M1" s="4">
        <f>Raw_Data!M1</f>
        <v>0</v>
      </c>
      <c r="N1" s="4">
        <f>Raw_Data!N1</f>
        <v>0</v>
      </c>
      <c r="O1" s="4" t="s">
        <v>42</v>
      </c>
      <c r="P1" s="4">
        <f>Raw_Data!P1</f>
        <v>0</v>
      </c>
      <c r="Q1" s="4">
        <f>Raw_Data!Q1</f>
        <v>0</v>
      </c>
      <c r="R1" s="4">
        <f>Raw_Data!R1</f>
        <v>0</v>
      </c>
      <c r="S1" s="4">
        <f>Raw_Data!S1</f>
        <v>0</v>
      </c>
    </row>
    <row r="2" spans="1:19" x14ac:dyDescent="0.25">
      <c r="A2" s="4" t="str">
        <f>Raw_Data!A2</f>
        <v>ID</v>
      </c>
      <c r="B2" s="4" t="str">
        <f>Raw_Data!B2</f>
        <v>glasses</v>
      </c>
      <c r="C2" s="4" t="str">
        <f>Raw_Data!C2</f>
        <v>body temp</v>
      </c>
      <c r="D2" s="4" t="str">
        <f>Raw_Data!D2</f>
        <v>ambient temp</v>
      </c>
      <c r="E2" s="4" t="str">
        <f>Raw_Data!E2</f>
        <v>1M</v>
      </c>
      <c r="F2" s="4" t="str">
        <f>Raw_Data!F2</f>
        <v>2M</v>
      </c>
      <c r="G2" s="4" t="str">
        <f>Raw_Data!G2</f>
        <v>3M</v>
      </c>
      <c r="H2" s="4" t="str">
        <f>Raw_Data!H2</f>
        <v>4M</v>
      </c>
      <c r="I2" s="4" t="str">
        <f>Raw_Data!I2</f>
        <v>5M</v>
      </c>
      <c r="J2" s="4" t="str">
        <f>Raw_Data!J2</f>
        <v>1M</v>
      </c>
      <c r="K2" s="4" t="str">
        <f>Raw_Data!K2</f>
        <v>2M</v>
      </c>
      <c r="L2" s="4" t="str">
        <f>Raw_Data!L2</f>
        <v>3M</v>
      </c>
      <c r="M2" s="4" t="str">
        <f>Raw_Data!M2</f>
        <v>4M</v>
      </c>
      <c r="N2" s="4" t="str">
        <f>Raw_Data!N2</f>
        <v>5M</v>
      </c>
      <c r="O2" s="4" t="str">
        <f>Raw_Data!O2</f>
        <v>1M</v>
      </c>
      <c r="P2" s="4" t="str">
        <f>Raw_Data!P2</f>
        <v>2M</v>
      </c>
      <c r="Q2" s="4" t="str">
        <f>Raw_Data!Q2</f>
        <v>3M</v>
      </c>
      <c r="R2" s="4" t="str">
        <f>Raw_Data!R2</f>
        <v>4M</v>
      </c>
      <c r="S2" s="4" t="str">
        <f>Raw_Data!S2</f>
        <v>5M</v>
      </c>
    </row>
    <row r="3" spans="1:19" x14ac:dyDescent="0.25">
      <c r="A3">
        <f>Raw_Data!A3</f>
        <v>1</v>
      </c>
      <c r="B3" t="str">
        <f>Raw_Data!B3</f>
        <v>N</v>
      </c>
      <c r="C3">
        <f>Raw_Data!C3</f>
        <v>36.799999999999997</v>
      </c>
      <c r="D3">
        <f>Raw_Data!D3</f>
        <v>16</v>
      </c>
      <c r="E3">
        <f>Raw_Data!E3</f>
        <v>30.3</v>
      </c>
      <c r="F3">
        <f>Raw_Data!F3</f>
        <v>25.5</v>
      </c>
      <c r="G3">
        <f>Raw_Data!G3</f>
        <v>23</v>
      </c>
      <c r="H3">
        <f>Raw_Data!H3</f>
        <v>22.06</v>
      </c>
      <c r="I3">
        <f>Raw_Data!I3</f>
        <v>21.5</v>
      </c>
      <c r="J3">
        <f>Raw_Data!J3</f>
        <v>30.5</v>
      </c>
      <c r="K3">
        <f>Raw_Data!K3</f>
        <v>26</v>
      </c>
      <c r="L3">
        <f>Raw_Data!L3</f>
        <v>23.5</v>
      </c>
      <c r="M3">
        <f>Raw_Data!M3</f>
        <v>22.5</v>
      </c>
      <c r="N3">
        <f>Raw_Data!N3</f>
        <v>21</v>
      </c>
      <c r="O3">
        <f>Raw_Data!O3</f>
        <v>29.5</v>
      </c>
      <c r="P3">
        <f>Raw_Data!P3</f>
        <v>27</v>
      </c>
      <c r="Q3">
        <f>Raw_Data!Q3</f>
        <v>26</v>
      </c>
      <c r="R3">
        <f>Raw_Data!R3</f>
        <v>23</v>
      </c>
      <c r="S3">
        <f>Raw_Data!S3</f>
        <v>21.7</v>
      </c>
    </row>
    <row r="4" spans="1:19" x14ac:dyDescent="0.25">
      <c r="A4">
        <f>Raw_Data!A4</f>
        <v>2</v>
      </c>
      <c r="B4" t="str">
        <f>Raw_Data!B5</f>
        <v>N</v>
      </c>
      <c r="C4">
        <f>Raw_Data!C5</f>
        <v>36.799999999999997</v>
      </c>
      <c r="D4">
        <f>Raw_Data!D5</f>
        <v>16</v>
      </c>
      <c r="E4">
        <f>Raw_Data!E5</f>
        <v>30.3</v>
      </c>
      <c r="F4">
        <f>Raw_Data!F5</f>
        <v>30</v>
      </c>
      <c r="G4">
        <f>Raw_Data!G5</f>
        <v>25.5</v>
      </c>
      <c r="H4">
        <f>Raw_Data!H5</f>
        <v>23.5</v>
      </c>
      <c r="I4">
        <f>Raw_Data!I5</f>
        <v>22</v>
      </c>
      <c r="J4">
        <f>Raw_Data!J5</f>
        <v>30.8</v>
      </c>
      <c r="K4">
        <f>Raw_Data!K5</f>
        <v>29</v>
      </c>
      <c r="L4">
        <f>Raw_Data!L5</f>
        <v>25.3</v>
      </c>
      <c r="M4">
        <f>Raw_Data!M5</f>
        <v>23</v>
      </c>
      <c r="N4">
        <f>Raw_Data!N5</f>
        <v>23</v>
      </c>
      <c r="O4">
        <f>Raw_Data!O5</f>
        <v>30</v>
      </c>
      <c r="P4">
        <f>Raw_Data!P5</f>
        <v>28.5</v>
      </c>
      <c r="Q4">
        <f>Raw_Data!Q5</f>
        <v>26.5</v>
      </c>
      <c r="R4">
        <f>Raw_Data!R5</f>
        <v>24.5</v>
      </c>
      <c r="S4">
        <f>Raw_Data!S5</f>
        <v>22.5</v>
      </c>
    </row>
    <row r="5" spans="1:19" x14ac:dyDescent="0.25">
      <c r="A5">
        <f>Raw_Data!A5</f>
        <v>3</v>
      </c>
      <c r="B5" t="str">
        <f>Raw_Data!B7</f>
        <v>N</v>
      </c>
      <c r="C5">
        <f>Raw_Data!C7</f>
        <v>36.6</v>
      </c>
      <c r="D5">
        <f>Raw_Data!D7</f>
        <v>16</v>
      </c>
      <c r="E5">
        <f>Raw_Data!E7</f>
        <v>31</v>
      </c>
      <c r="F5">
        <f>Raw_Data!F7</f>
        <v>29.1</v>
      </c>
      <c r="G5">
        <f>Raw_Data!G7</f>
        <v>25.5</v>
      </c>
      <c r="H5">
        <f>Raw_Data!H7</f>
        <v>23.5</v>
      </c>
      <c r="I5">
        <f>Raw_Data!I7</f>
        <v>22</v>
      </c>
      <c r="J5">
        <f>Raw_Data!J7</f>
        <v>32</v>
      </c>
      <c r="K5">
        <f>Raw_Data!K7</f>
        <v>29.7</v>
      </c>
      <c r="L5">
        <f>Raw_Data!L7</f>
        <v>25.7</v>
      </c>
      <c r="M5">
        <f>Raw_Data!M7</f>
        <v>24</v>
      </c>
      <c r="N5">
        <f>Raw_Data!N7</f>
        <v>23</v>
      </c>
      <c r="O5">
        <f>Raw_Data!O7</f>
        <v>31.5</v>
      </c>
      <c r="P5">
        <f>Raw_Data!P7</f>
        <v>31</v>
      </c>
      <c r="Q5">
        <f>Raw_Data!Q7</f>
        <v>26.5</v>
      </c>
      <c r="R5">
        <f>Raw_Data!R7</f>
        <v>24.5</v>
      </c>
      <c r="S5">
        <f>Raw_Data!S7</f>
        <v>23</v>
      </c>
    </row>
    <row r="6" spans="1:19" x14ac:dyDescent="0.25">
      <c r="A6">
        <f>Raw_Data!A6</f>
        <v>4</v>
      </c>
      <c r="B6" t="str">
        <f>Raw_Data!B9</f>
        <v>N</v>
      </c>
      <c r="C6">
        <f>Raw_Data!C9</f>
        <v>35.4</v>
      </c>
      <c r="D6">
        <f>Raw_Data!D9</f>
        <v>16</v>
      </c>
      <c r="E6">
        <f>Raw_Data!E9</f>
        <v>30.5</v>
      </c>
      <c r="F6">
        <f>Raw_Data!F9</f>
        <v>26</v>
      </c>
      <c r="G6">
        <f>Raw_Data!G9</f>
        <v>23.5</v>
      </c>
      <c r="H6">
        <f>Raw_Data!H9</f>
        <v>22.7</v>
      </c>
      <c r="I6">
        <f>Raw_Data!I9</f>
        <v>21</v>
      </c>
      <c r="J6">
        <f>Raw_Data!J9</f>
        <v>30</v>
      </c>
      <c r="K6">
        <f>Raw_Data!K9</f>
        <v>27</v>
      </c>
      <c r="L6">
        <f>Raw_Data!L9</f>
        <v>24.5</v>
      </c>
      <c r="M6">
        <f>Raw_Data!M9</f>
        <v>23.7</v>
      </c>
      <c r="N6">
        <f>Raw_Data!N9</f>
        <v>21</v>
      </c>
      <c r="O6">
        <f>Raw_Data!O9</f>
        <v>30.5</v>
      </c>
      <c r="P6">
        <f>Raw_Data!P9</f>
        <v>28</v>
      </c>
      <c r="Q6">
        <f>Raw_Data!Q9</f>
        <v>25.5</v>
      </c>
      <c r="R6">
        <f>Raw_Data!R9</f>
        <v>23</v>
      </c>
      <c r="S6">
        <f>Raw_Data!S9</f>
        <v>21.5</v>
      </c>
    </row>
    <row r="7" spans="1:19" x14ac:dyDescent="0.25">
      <c r="A7">
        <f>Raw_Data!A7</f>
        <v>5</v>
      </c>
      <c r="B7" t="str">
        <f>Raw_Data!B10</f>
        <v>N</v>
      </c>
      <c r="C7">
        <f>Raw_Data!C10</f>
        <v>36.700000000000003</v>
      </c>
      <c r="D7">
        <f>Raw_Data!D10</f>
        <v>16</v>
      </c>
      <c r="E7">
        <f>Raw_Data!E10</f>
        <v>30</v>
      </c>
      <c r="F7">
        <f>Raw_Data!F10</f>
        <v>26</v>
      </c>
      <c r="G7">
        <f>Raw_Data!G10</f>
        <v>24.3</v>
      </c>
      <c r="H7">
        <f>Raw_Data!H10</f>
        <v>22.9</v>
      </c>
      <c r="I7">
        <f>Raw_Data!I10</f>
        <v>21.5</v>
      </c>
      <c r="J7">
        <f>Raw_Data!J10</f>
        <v>30.2</v>
      </c>
      <c r="K7">
        <f>Raw_Data!K10</f>
        <v>26.5</v>
      </c>
      <c r="L7">
        <f>Raw_Data!L10</f>
        <v>24.7</v>
      </c>
      <c r="M7">
        <f>Raw_Data!M10</f>
        <v>23.5</v>
      </c>
      <c r="N7">
        <f>Raw_Data!N10</f>
        <v>22</v>
      </c>
      <c r="O7">
        <f>Raw_Data!O10</f>
        <v>30</v>
      </c>
      <c r="P7">
        <f>Raw_Data!P10</f>
        <v>26.7</v>
      </c>
      <c r="Q7">
        <f>Raw_Data!Q10</f>
        <v>25.8</v>
      </c>
      <c r="R7">
        <f>Raw_Data!R10</f>
        <v>25</v>
      </c>
      <c r="S7">
        <f>Raw_Data!S10</f>
        <v>23</v>
      </c>
    </row>
    <row r="8" spans="1:19" x14ac:dyDescent="0.25">
      <c r="A8">
        <f>Raw_Data!A8</f>
        <v>6</v>
      </c>
      <c r="B8" t="str">
        <f>Raw_Data!B11</f>
        <v>N</v>
      </c>
      <c r="C8">
        <f>Raw_Data!C11</f>
        <v>36.1</v>
      </c>
      <c r="D8">
        <f>Raw_Data!D11</f>
        <v>16</v>
      </c>
      <c r="E8">
        <f>Raw_Data!E11</f>
        <v>30</v>
      </c>
      <c r="F8">
        <f>Raw_Data!F11</f>
        <v>26.7</v>
      </c>
      <c r="G8">
        <f>Raw_Data!G11</f>
        <v>24.5</v>
      </c>
      <c r="H8">
        <f>Raw_Data!H11</f>
        <v>23.8</v>
      </c>
      <c r="I8">
        <f>Raw_Data!I11</f>
        <v>22.1</v>
      </c>
      <c r="J8">
        <f>Raw_Data!J11</f>
        <v>30.5</v>
      </c>
      <c r="K8">
        <f>Raw_Data!K11</f>
        <v>27</v>
      </c>
      <c r="L8">
        <f>Raw_Data!L11</f>
        <v>26</v>
      </c>
      <c r="M8">
        <f>Raw_Data!M11</f>
        <v>24</v>
      </c>
      <c r="N8">
        <f>Raw_Data!N11</f>
        <v>23</v>
      </c>
      <c r="O8">
        <f>Raw_Data!O11</f>
        <v>30.1</v>
      </c>
      <c r="P8">
        <f>Raw_Data!P11</f>
        <v>28</v>
      </c>
      <c r="Q8">
        <f>Raw_Data!Q11</f>
        <v>26</v>
      </c>
      <c r="R8">
        <f>Raw_Data!R11</f>
        <v>24</v>
      </c>
      <c r="S8">
        <f>Raw_Data!S11</f>
        <v>24</v>
      </c>
    </row>
    <row r="9" spans="1:19" x14ac:dyDescent="0.25">
      <c r="A9">
        <f>Raw_Data!A9</f>
        <v>7</v>
      </c>
      <c r="B9" t="str">
        <f>Raw_Data!B13</f>
        <v>N</v>
      </c>
      <c r="C9">
        <f>Raw_Data!C13</f>
        <v>36.6</v>
      </c>
      <c r="D9">
        <f>Raw_Data!D13</f>
        <v>16</v>
      </c>
      <c r="E9">
        <f>Raw_Data!E13</f>
        <v>30</v>
      </c>
      <c r="F9">
        <f>Raw_Data!F13</f>
        <v>26.32</v>
      </c>
      <c r="G9">
        <f>Raw_Data!G13</f>
        <v>23.9</v>
      </c>
      <c r="H9">
        <f>Raw_Data!H13</f>
        <v>22.7</v>
      </c>
      <c r="I9">
        <f>Raw_Data!I13</f>
        <v>21.9</v>
      </c>
      <c r="J9">
        <f>Raw_Data!J13</f>
        <v>30.5</v>
      </c>
      <c r="K9">
        <f>Raw_Data!K13</f>
        <v>26.58</v>
      </c>
      <c r="L9">
        <f>Raw_Data!L13</f>
        <v>24.5</v>
      </c>
      <c r="M9">
        <f>Raw_Data!M13</f>
        <v>23.3</v>
      </c>
      <c r="N9">
        <f>Raw_Data!N13</f>
        <v>23</v>
      </c>
      <c r="O9">
        <f>Raw_Data!O13</f>
        <v>29.1</v>
      </c>
      <c r="P9">
        <f>Raw_Data!P13</f>
        <v>28.2</v>
      </c>
      <c r="Q9">
        <f>Raw_Data!Q13</f>
        <v>25.6</v>
      </c>
      <c r="R9">
        <f>Raw_Data!R13</f>
        <v>24.6</v>
      </c>
      <c r="S9">
        <f>Raw_Data!S13</f>
        <v>23.5</v>
      </c>
    </row>
    <row r="10" spans="1:19" x14ac:dyDescent="0.25">
      <c r="A10">
        <f>Raw_Data!A10</f>
        <v>8</v>
      </c>
      <c r="B10" t="str">
        <f>Raw_Data!B15</f>
        <v>N</v>
      </c>
      <c r="C10">
        <f>Raw_Data!C15</f>
        <v>36.4</v>
      </c>
      <c r="D10">
        <f>Raw_Data!D15</f>
        <v>16</v>
      </c>
      <c r="E10">
        <f>Raw_Data!E15</f>
        <v>29.5</v>
      </c>
      <c r="F10">
        <f>Raw_Data!F15</f>
        <v>24.5</v>
      </c>
      <c r="G10">
        <f>Raw_Data!G15</f>
        <v>24.4</v>
      </c>
      <c r="H10">
        <f>Raw_Data!H15</f>
        <v>23.5</v>
      </c>
      <c r="I10">
        <f>Raw_Data!I15</f>
        <v>22.7</v>
      </c>
      <c r="J10">
        <f>Raw_Data!J15</f>
        <v>30.5</v>
      </c>
      <c r="K10">
        <f>Raw_Data!K15</f>
        <v>26.5</v>
      </c>
      <c r="L10">
        <f>Raw_Data!L15</f>
        <v>25.4</v>
      </c>
      <c r="M10">
        <f>Raw_Data!M15</f>
        <v>23.7</v>
      </c>
      <c r="N10">
        <f>Raw_Data!N15</f>
        <v>23</v>
      </c>
      <c r="O10">
        <f>Raw_Data!O15</f>
        <v>29.5</v>
      </c>
      <c r="P10">
        <f>Raw_Data!P15</f>
        <v>26.5</v>
      </c>
      <c r="Q10">
        <f>Raw_Data!Q15</f>
        <v>25.5</v>
      </c>
      <c r="R10">
        <f>Raw_Data!R15</f>
        <v>23.2</v>
      </c>
      <c r="S10">
        <f>Raw_Data!S15</f>
        <v>20.5</v>
      </c>
    </row>
    <row r="11" spans="1:19" x14ac:dyDescent="0.25">
      <c r="A11">
        <f>Raw_Data!A11</f>
        <v>9</v>
      </c>
      <c r="B11" t="str">
        <f>Raw_Data!B17</f>
        <v>N</v>
      </c>
      <c r="C11">
        <f>Raw_Data!C17</f>
        <v>36.700000000000003</v>
      </c>
      <c r="D11">
        <f>Raw_Data!D17</f>
        <v>18</v>
      </c>
      <c r="E11">
        <f>Raw_Data!E17</f>
        <v>30.2</v>
      </c>
      <c r="F11">
        <f>Raw_Data!F17</f>
        <v>26.5</v>
      </c>
      <c r="G11">
        <f>Raw_Data!G17</f>
        <v>24.8</v>
      </c>
      <c r="H11">
        <f>Raw_Data!H17</f>
        <v>23.6</v>
      </c>
      <c r="I11">
        <f>Raw_Data!I17</f>
        <v>22.8</v>
      </c>
      <c r="J11">
        <f>Raw_Data!J17</f>
        <v>30.8</v>
      </c>
      <c r="K11">
        <f>Raw_Data!K17</f>
        <v>26.2</v>
      </c>
      <c r="L11">
        <f>Raw_Data!L17</f>
        <v>25.5</v>
      </c>
      <c r="M11">
        <f>Raw_Data!M17</f>
        <v>24.3</v>
      </c>
      <c r="N11">
        <f>Raw_Data!N17</f>
        <v>23</v>
      </c>
      <c r="O11">
        <f>Raw_Data!O17</f>
        <v>29.3</v>
      </c>
      <c r="P11">
        <f>Raw_Data!P17</f>
        <v>28.1</v>
      </c>
      <c r="Q11">
        <f>Raw_Data!Q17</f>
        <v>26.5</v>
      </c>
      <c r="R11">
        <f>Raw_Data!R17</f>
        <v>25.2</v>
      </c>
      <c r="S11">
        <f>Raw_Data!S17</f>
        <v>23.7</v>
      </c>
    </row>
    <row r="12" spans="1:19" x14ac:dyDescent="0.25">
      <c r="A12">
        <f>Raw_Data!A12</f>
        <v>10</v>
      </c>
      <c r="B12" t="str">
        <f>Raw_Data!B19</f>
        <v>N</v>
      </c>
      <c r="C12">
        <f>Raw_Data!C19</f>
        <v>35.200000000000003</v>
      </c>
      <c r="D12">
        <f>Raw_Data!D19</f>
        <v>18</v>
      </c>
      <c r="E12">
        <f>Raw_Data!E19</f>
        <v>31.6</v>
      </c>
      <c r="F12">
        <f>Raw_Data!F19</f>
        <v>28</v>
      </c>
      <c r="G12">
        <f>Raw_Data!G19</f>
        <v>26.5</v>
      </c>
      <c r="H12">
        <f>Raw_Data!H19</f>
        <v>24.5</v>
      </c>
      <c r="I12">
        <f>Raw_Data!I19</f>
        <v>20.5</v>
      </c>
      <c r="J12">
        <f>Raw_Data!J19</f>
        <v>31.2</v>
      </c>
      <c r="K12">
        <f>Raw_Data!K19</f>
        <v>28.2</v>
      </c>
      <c r="L12">
        <f>Raw_Data!L19</f>
        <v>26.8</v>
      </c>
      <c r="M12">
        <f>Raw_Data!M19</f>
        <v>24.8</v>
      </c>
      <c r="N12">
        <f>Raw_Data!N19</f>
        <v>21</v>
      </c>
      <c r="O12">
        <f>Raw_Data!O19</f>
        <v>31.5</v>
      </c>
      <c r="P12">
        <f>Raw_Data!P19</f>
        <v>28.5</v>
      </c>
      <c r="Q12">
        <f>Raw_Data!Q19</f>
        <v>28</v>
      </c>
      <c r="R12">
        <f>Raw_Data!R19</f>
        <v>25</v>
      </c>
      <c r="S12">
        <f>Raw_Data!S19</f>
        <v>20.8</v>
      </c>
    </row>
    <row r="13" spans="1:19" x14ac:dyDescent="0.25">
      <c r="A13">
        <f>Raw_Data!A13</f>
        <v>11</v>
      </c>
      <c r="B13" t="str">
        <f>Raw_Data!B21</f>
        <v>N</v>
      </c>
      <c r="C13">
        <f>Raw_Data!C21</f>
        <v>36.799999999999997</v>
      </c>
      <c r="D13">
        <f>Raw_Data!D21</f>
        <v>18</v>
      </c>
      <c r="E13">
        <f>Raw_Data!E21</f>
        <v>30.8</v>
      </c>
      <c r="F13">
        <f>Raw_Data!F21</f>
        <v>27.3</v>
      </c>
      <c r="G13">
        <f>Raw_Data!G21</f>
        <v>24.5</v>
      </c>
      <c r="H13">
        <f>Raw_Data!H21</f>
        <v>21.2</v>
      </c>
      <c r="I13">
        <f>Raw_Data!I21</f>
        <v>21</v>
      </c>
      <c r="J13">
        <f>Raw_Data!J21</f>
        <v>31.8</v>
      </c>
      <c r="K13">
        <f>Raw_Data!K21</f>
        <v>28.1</v>
      </c>
      <c r="L13">
        <f>Raw_Data!L21</f>
        <v>24.8</v>
      </c>
      <c r="M13">
        <f>Raw_Data!M21</f>
        <v>21.5</v>
      </c>
      <c r="N13">
        <f>Raw_Data!N21</f>
        <v>21.3</v>
      </c>
      <c r="O13">
        <f>Raw_Data!O21</f>
        <v>30.5</v>
      </c>
      <c r="P13">
        <f>Raw_Data!P21</f>
        <v>28.5</v>
      </c>
      <c r="Q13">
        <f>Raw_Data!Q21</f>
        <v>24.5</v>
      </c>
      <c r="R13">
        <f>Raw_Data!R21</f>
        <v>22.5</v>
      </c>
      <c r="S13">
        <f>Raw_Data!S21</f>
        <v>22</v>
      </c>
    </row>
    <row r="14" spans="1:19" x14ac:dyDescent="0.25">
      <c r="A14">
        <f>Raw_Data!A14</f>
        <v>12</v>
      </c>
      <c r="B14" t="str">
        <f>Raw_Data!B22</f>
        <v>N</v>
      </c>
      <c r="C14">
        <f>Raw_Data!C22</f>
        <v>36.200000000000003</v>
      </c>
      <c r="D14">
        <f>Raw_Data!D22</f>
        <v>18</v>
      </c>
      <c r="E14">
        <f>Raw_Data!E22</f>
        <v>31.1</v>
      </c>
      <c r="F14">
        <f>Raw_Data!F22</f>
        <v>27.5</v>
      </c>
      <c r="G14">
        <f>Raw_Data!G22</f>
        <v>25.1</v>
      </c>
      <c r="H14">
        <f>Raw_Data!H22</f>
        <v>24.2</v>
      </c>
      <c r="I14">
        <f>Raw_Data!I22</f>
        <v>23.6</v>
      </c>
      <c r="J14">
        <f>Raw_Data!J22</f>
        <v>31.5</v>
      </c>
      <c r="K14">
        <f>Raw_Data!K22</f>
        <v>28.5</v>
      </c>
      <c r="L14">
        <f>Raw_Data!L22</f>
        <v>25.8</v>
      </c>
      <c r="M14">
        <f>Raw_Data!M22</f>
        <v>24.5</v>
      </c>
      <c r="N14">
        <f>Raw_Data!N22</f>
        <v>24</v>
      </c>
      <c r="O14">
        <f>Raw_Data!O22</f>
        <v>30</v>
      </c>
      <c r="P14">
        <f>Raw_Data!P22</f>
        <v>28.5</v>
      </c>
      <c r="Q14">
        <f>Raw_Data!Q22</f>
        <v>26</v>
      </c>
      <c r="R14">
        <f>Raw_Data!R22</f>
        <v>24.7</v>
      </c>
      <c r="S14">
        <f>Raw_Data!S22</f>
        <v>23</v>
      </c>
    </row>
    <row r="15" spans="1:19" x14ac:dyDescent="0.25">
      <c r="A15">
        <f>Raw_Data!A15</f>
        <v>13</v>
      </c>
      <c r="B15" t="str">
        <f>Raw_Data!B23</f>
        <v>N</v>
      </c>
      <c r="C15">
        <f>Raw_Data!C23</f>
        <v>36.6</v>
      </c>
      <c r="D15">
        <f>Raw_Data!D23</f>
        <v>18</v>
      </c>
      <c r="E15">
        <f>Raw_Data!E23</f>
        <v>29.9</v>
      </c>
      <c r="F15">
        <f>Raw_Data!F23</f>
        <v>26.5</v>
      </c>
      <c r="G15">
        <f>Raw_Data!G23</f>
        <v>24.5</v>
      </c>
      <c r="H15">
        <f>Raw_Data!H23</f>
        <v>23.5</v>
      </c>
      <c r="I15">
        <f>Raw_Data!I23</f>
        <v>22.4</v>
      </c>
      <c r="J15">
        <f>Raw_Data!J23</f>
        <v>30.2</v>
      </c>
      <c r="K15">
        <f>Raw_Data!K23</f>
        <v>27</v>
      </c>
      <c r="L15">
        <f>Raw_Data!L23</f>
        <v>24.8</v>
      </c>
      <c r="M15">
        <f>Raw_Data!M23</f>
        <v>24</v>
      </c>
      <c r="N15">
        <f>Raw_Data!N23</f>
        <v>22</v>
      </c>
      <c r="O15">
        <f>Raw_Data!O23</f>
        <v>30</v>
      </c>
      <c r="P15">
        <f>Raw_Data!P23</f>
        <v>27.4</v>
      </c>
      <c r="Q15">
        <f>Raw_Data!Q23</f>
        <v>25</v>
      </c>
      <c r="R15">
        <f>Raw_Data!R23</f>
        <v>24.3</v>
      </c>
      <c r="S15">
        <f>Raw_Data!S23</f>
        <v>22</v>
      </c>
    </row>
    <row r="16" spans="1:19" x14ac:dyDescent="0.25">
      <c r="A16">
        <f>Raw_Data!A16</f>
        <v>14</v>
      </c>
      <c r="B16" t="str">
        <f>Raw_Data!B25</f>
        <v>N</v>
      </c>
      <c r="C16">
        <f>Raw_Data!C25</f>
        <v>36.799999999999997</v>
      </c>
      <c r="D16">
        <f>Raw_Data!D25</f>
        <v>18</v>
      </c>
      <c r="E16">
        <f>Raw_Data!E25</f>
        <v>30.7</v>
      </c>
      <c r="F16">
        <f>Raw_Data!F25</f>
        <v>25.4</v>
      </c>
      <c r="G16">
        <f>Raw_Data!G25</f>
        <v>24.9</v>
      </c>
      <c r="H16">
        <f>Raw_Data!H25</f>
        <v>23.8</v>
      </c>
      <c r="I16">
        <f>Raw_Data!I25</f>
        <v>23.2</v>
      </c>
      <c r="J16">
        <f>Raw_Data!J25</f>
        <v>31.7</v>
      </c>
      <c r="K16">
        <f>Raw_Data!K25</f>
        <v>27</v>
      </c>
      <c r="L16">
        <f>Raw_Data!L25</f>
        <v>25.9</v>
      </c>
      <c r="M16">
        <f>Raw_Data!M25</f>
        <v>24.4</v>
      </c>
      <c r="N16">
        <f>Raw_Data!N25</f>
        <v>24</v>
      </c>
      <c r="O16">
        <f>Raw_Data!O25</f>
        <v>29.3</v>
      </c>
      <c r="P16">
        <f>Raw_Data!P25</f>
        <v>25.5</v>
      </c>
      <c r="Q16">
        <f>Raw_Data!Q25</f>
        <v>26.5</v>
      </c>
      <c r="R16">
        <f>Raw_Data!R25</f>
        <v>22</v>
      </c>
      <c r="S16">
        <f>Raw_Data!S25</f>
        <v>23.3</v>
      </c>
    </row>
    <row r="17" spans="1:19" x14ac:dyDescent="0.25">
      <c r="A17">
        <f>Raw_Data!A17</f>
        <v>15</v>
      </c>
      <c r="B17" t="str">
        <f>Raw_Data!B26</f>
        <v>N</v>
      </c>
      <c r="C17">
        <f>Raw_Data!C26</f>
        <v>36.799999999999997</v>
      </c>
      <c r="D17">
        <f>Raw_Data!D26</f>
        <v>18</v>
      </c>
      <c r="E17">
        <f>Raw_Data!E26</f>
        <v>29.9</v>
      </c>
      <c r="F17">
        <f>Raw_Data!F26</f>
        <v>26.3</v>
      </c>
      <c r="G17">
        <f>Raw_Data!G26</f>
        <v>24.2</v>
      </c>
      <c r="H17">
        <f>Raw_Data!H26</f>
        <v>23.1</v>
      </c>
      <c r="I17">
        <f>Raw_Data!I26</f>
        <v>22.4</v>
      </c>
      <c r="J17">
        <f>Raw_Data!J26</f>
        <v>30.2</v>
      </c>
      <c r="K17">
        <f>Raw_Data!K26</f>
        <v>27</v>
      </c>
      <c r="L17">
        <f>Raw_Data!L26</f>
        <v>24.8</v>
      </c>
      <c r="M17">
        <f>Raw_Data!M26</f>
        <v>24.2</v>
      </c>
      <c r="N17">
        <f>Raw_Data!N26</f>
        <v>23</v>
      </c>
      <c r="O17">
        <f>Raw_Data!O26</f>
        <v>30</v>
      </c>
      <c r="P17">
        <f>Raw_Data!P26</f>
        <v>27.1</v>
      </c>
      <c r="Q17">
        <f>Raw_Data!Q26</f>
        <v>24.5</v>
      </c>
      <c r="R17">
        <f>Raw_Data!R26</f>
        <v>23</v>
      </c>
      <c r="S17">
        <f>Raw_Data!S26</f>
        <v>22.3</v>
      </c>
    </row>
    <row r="18" spans="1:19" x14ac:dyDescent="0.25">
      <c r="A18">
        <f>Raw_Data!A18</f>
        <v>16</v>
      </c>
      <c r="B18" t="str">
        <f>Raw_Data!B27</f>
        <v>N</v>
      </c>
      <c r="C18">
        <f>Raw_Data!C27</f>
        <v>36.6</v>
      </c>
      <c r="D18">
        <f>Raw_Data!D27</f>
        <v>20</v>
      </c>
      <c r="E18">
        <f>Raw_Data!E27</f>
        <v>30.5</v>
      </c>
      <c r="F18">
        <f>Raw_Data!F27</f>
        <v>27.6</v>
      </c>
      <c r="G18">
        <f>Raw_Data!G27</f>
        <v>25.8</v>
      </c>
      <c r="H18">
        <f>Raw_Data!H27</f>
        <v>24.5</v>
      </c>
      <c r="I18">
        <f>Raw_Data!I27</f>
        <v>23.5</v>
      </c>
      <c r="J18">
        <f>Raw_Data!J27</f>
        <v>31.3</v>
      </c>
      <c r="K18">
        <f>Raw_Data!K27</f>
        <v>28</v>
      </c>
      <c r="L18">
        <f>Raw_Data!L27</f>
        <v>26.5</v>
      </c>
      <c r="M18">
        <f>Raw_Data!M27</f>
        <v>25</v>
      </c>
      <c r="N18">
        <f>Raw_Data!N27</f>
        <v>24</v>
      </c>
      <c r="O18">
        <f>Raw_Data!O27</f>
        <v>29.6</v>
      </c>
      <c r="P18">
        <f>Raw_Data!P27</f>
        <v>27.7</v>
      </c>
      <c r="Q18">
        <f>Raw_Data!Q27</f>
        <v>26.9</v>
      </c>
      <c r="R18">
        <f>Raw_Data!R27</f>
        <v>26.6</v>
      </c>
      <c r="S18">
        <f>Raw_Data!S27</f>
        <v>23.7</v>
      </c>
    </row>
    <row r="19" spans="1:19" x14ac:dyDescent="0.25">
      <c r="A19">
        <f>Raw_Data!A19</f>
        <v>17</v>
      </c>
      <c r="B19" t="str">
        <f>Raw_Data!B28</f>
        <v>N</v>
      </c>
      <c r="C19">
        <f>Raw_Data!C28</f>
        <v>36.4</v>
      </c>
      <c r="D19">
        <f>Raw_Data!D28</f>
        <v>20</v>
      </c>
      <c r="E19">
        <f>Raw_Data!E28</f>
        <v>30.6</v>
      </c>
      <c r="F19">
        <f>Raw_Data!F28</f>
        <v>26.4</v>
      </c>
      <c r="G19">
        <f>Raw_Data!G28</f>
        <v>25.5</v>
      </c>
      <c r="H19">
        <f>Raw_Data!H28</f>
        <v>24.6</v>
      </c>
      <c r="I19">
        <f>Raw_Data!I28</f>
        <v>23</v>
      </c>
      <c r="J19">
        <f>Raw_Data!J28</f>
        <v>31</v>
      </c>
      <c r="K19">
        <f>Raw_Data!K28</f>
        <v>27</v>
      </c>
      <c r="L19">
        <f>Raw_Data!L28</f>
        <v>25.8</v>
      </c>
      <c r="M19">
        <f>Raw_Data!M28</f>
        <v>24</v>
      </c>
      <c r="N19">
        <f>Raw_Data!N28</f>
        <v>23.5</v>
      </c>
      <c r="O19">
        <f>Raw_Data!O28</f>
        <v>28.6</v>
      </c>
      <c r="P19">
        <f>Raw_Data!P28</f>
        <v>27</v>
      </c>
      <c r="Q19">
        <f>Raw_Data!Q28</f>
        <v>24.8</v>
      </c>
      <c r="R19">
        <f>Raw_Data!R28</f>
        <v>23.8</v>
      </c>
      <c r="S19">
        <f>Raw_Data!S28</f>
        <v>22.5</v>
      </c>
    </row>
    <row r="20" spans="1:19" x14ac:dyDescent="0.25">
      <c r="A20">
        <f>Raw_Data!A20</f>
        <v>18</v>
      </c>
      <c r="B20" t="str">
        <f>Raw_Data!B30</f>
        <v>N</v>
      </c>
      <c r="C20">
        <f>Raw_Data!C30</f>
        <v>36.9</v>
      </c>
      <c r="D20">
        <f>Raw_Data!D30</f>
        <v>20</v>
      </c>
      <c r="E20">
        <f>Raw_Data!E30</f>
        <v>30.8</v>
      </c>
      <c r="F20">
        <f>Raw_Data!F30</f>
        <v>28.5</v>
      </c>
      <c r="G20">
        <f>Raw_Data!G30</f>
        <v>26</v>
      </c>
      <c r="H20">
        <f>Raw_Data!H30</f>
        <v>25</v>
      </c>
      <c r="I20">
        <f>Raw_Data!I30</f>
        <v>22.8</v>
      </c>
      <c r="J20">
        <f>Raw_Data!J30</f>
        <v>31.7</v>
      </c>
      <c r="K20">
        <f>Raw_Data!K30</f>
        <v>28</v>
      </c>
      <c r="L20">
        <f>Raw_Data!L30</f>
        <v>26.7</v>
      </c>
      <c r="M20">
        <f>Raw_Data!M30</f>
        <v>25.2</v>
      </c>
      <c r="N20">
        <f>Raw_Data!N30</f>
        <v>22.5</v>
      </c>
      <c r="O20">
        <f>Raw_Data!O30</f>
        <v>29.5</v>
      </c>
      <c r="P20">
        <f>Raw_Data!P30</f>
        <v>28.4</v>
      </c>
      <c r="Q20">
        <f>Raw_Data!Q30</f>
        <v>27.5</v>
      </c>
      <c r="R20">
        <f>Raw_Data!R30</f>
        <v>25.7</v>
      </c>
      <c r="S20">
        <f>Raw_Data!S30</f>
        <v>22.4</v>
      </c>
    </row>
    <row r="21" spans="1:19" x14ac:dyDescent="0.25">
      <c r="A21">
        <f>Raw_Data!A21</f>
        <v>19</v>
      </c>
      <c r="B21" t="str">
        <f>Raw_Data!B32</f>
        <v>N</v>
      </c>
      <c r="C21">
        <f>Raw_Data!C32</f>
        <v>36.4</v>
      </c>
      <c r="D21">
        <f>Raw_Data!D32</f>
        <v>20</v>
      </c>
      <c r="E21">
        <f>Raw_Data!E32</f>
        <v>31</v>
      </c>
      <c r="F21">
        <f>Raw_Data!F32</f>
        <v>28.4</v>
      </c>
      <c r="G21">
        <f>Raw_Data!G32</f>
        <v>26.8</v>
      </c>
      <c r="H21">
        <f>Raw_Data!H32</f>
        <v>25</v>
      </c>
      <c r="I21">
        <f>Raw_Data!I32</f>
        <v>22.5</v>
      </c>
      <c r="J21">
        <f>Raw_Data!J32</f>
        <v>31.3</v>
      </c>
      <c r="K21">
        <f>Raw_Data!K32</f>
        <v>29.5</v>
      </c>
      <c r="L21">
        <f>Raw_Data!L32</f>
        <v>27.5</v>
      </c>
      <c r="M21">
        <f>Raw_Data!M32</f>
        <v>25.8</v>
      </c>
      <c r="N21">
        <f>Raw_Data!N32</f>
        <v>23</v>
      </c>
      <c r="O21">
        <f>Raw_Data!O32</f>
        <v>30.5</v>
      </c>
      <c r="P21">
        <f>Raw_Data!P32</f>
        <v>29</v>
      </c>
      <c r="Q21">
        <f>Raw_Data!Q32</f>
        <v>27</v>
      </c>
      <c r="R21">
        <f>Raw_Data!R32</f>
        <v>25.2</v>
      </c>
      <c r="S21">
        <f>Raw_Data!S32</f>
        <v>22.4</v>
      </c>
    </row>
    <row r="22" spans="1:19" x14ac:dyDescent="0.25">
      <c r="A22">
        <f>Raw_Data!A22</f>
        <v>20</v>
      </c>
      <c r="B22" t="str">
        <f>Raw_Data!B34</f>
        <v>N</v>
      </c>
      <c r="C22">
        <f>Raw_Data!C34</f>
        <v>36.799999999999997</v>
      </c>
      <c r="D22">
        <f>Raw_Data!D34</f>
        <v>20</v>
      </c>
      <c r="E22">
        <f>Raw_Data!E34</f>
        <v>31.7</v>
      </c>
      <c r="F22">
        <f>Raw_Data!F34</f>
        <v>29.2</v>
      </c>
      <c r="G22">
        <f>Raw_Data!G34</f>
        <v>27.5</v>
      </c>
      <c r="H22">
        <f>Raw_Data!H34</f>
        <v>26</v>
      </c>
      <c r="I22">
        <f>Raw_Data!I34</f>
        <v>23.3</v>
      </c>
      <c r="J22">
        <f>Raw_Data!J34</f>
        <v>31.5</v>
      </c>
      <c r="K22">
        <f>Raw_Data!K34</f>
        <v>29.8</v>
      </c>
      <c r="L22">
        <f>Raw_Data!L34</f>
        <v>27.4</v>
      </c>
      <c r="M22">
        <f>Raw_Data!M34</f>
        <v>26.5</v>
      </c>
      <c r="N22">
        <f>Raw_Data!N34</f>
        <v>23</v>
      </c>
      <c r="O22">
        <f>Raw_Data!O34</f>
        <v>30.8</v>
      </c>
      <c r="P22">
        <f>Raw_Data!P34</f>
        <v>28.8</v>
      </c>
      <c r="Q22">
        <f>Raw_Data!Q34</f>
        <v>26.8</v>
      </c>
      <c r="R22">
        <f>Raw_Data!R34</f>
        <v>24.2</v>
      </c>
      <c r="S22">
        <f>Raw_Data!S34</f>
        <v>22.5</v>
      </c>
    </row>
    <row r="23" spans="1:19" x14ac:dyDescent="0.25">
      <c r="A23">
        <f>Raw_Data!A23</f>
        <v>21</v>
      </c>
      <c r="B23" t="str">
        <f>Raw_Data!B36</f>
        <v>N</v>
      </c>
      <c r="C23">
        <f>Raw_Data!C36</f>
        <v>36.700000000000003</v>
      </c>
      <c r="D23">
        <f>Raw_Data!D36</f>
        <v>22</v>
      </c>
      <c r="E23">
        <f>Raw_Data!E36</f>
        <v>30.9</v>
      </c>
      <c r="F23">
        <f>Raw_Data!F36</f>
        <v>27.2</v>
      </c>
      <c r="G23">
        <f>Raw_Data!G36</f>
        <v>26.8</v>
      </c>
      <c r="H23">
        <f>Raw_Data!H36</f>
        <v>25.5</v>
      </c>
      <c r="I23">
        <f>Raw_Data!I36</f>
        <v>24</v>
      </c>
      <c r="J23">
        <f>Raw_Data!J36</f>
        <v>31.5</v>
      </c>
      <c r="K23">
        <f>Raw_Data!K36</f>
        <v>27.8</v>
      </c>
      <c r="L23">
        <f>Raw_Data!L36</f>
        <v>27</v>
      </c>
      <c r="M23">
        <f>Raw_Data!M36</f>
        <v>26.2</v>
      </c>
      <c r="N23">
        <f>Raw_Data!N36</f>
        <v>24.5</v>
      </c>
      <c r="O23">
        <f>Raw_Data!O36</f>
        <v>29.8</v>
      </c>
      <c r="P23">
        <f>Raw_Data!P36</f>
        <v>28.2</v>
      </c>
      <c r="Q23">
        <f>Raw_Data!Q36</f>
        <v>27.2</v>
      </c>
      <c r="R23">
        <f>Raw_Data!R36</f>
        <v>26</v>
      </c>
      <c r="S23">
        <f>Raw_Data!S36</f>
        <v>24.5</v>
      </c>
    </row>
    <row r="24" spans="1:19" x14ac:dyDescent="0.25">
      <c r="A24">
        <f>Raw_Data!A24</f>
        <v>22</v>
      </c>
      <c r="B24" t="str">
        <f>Raw_Data!B37</f>
        <v>N</v>
      </c>
      <c r="C24">
        <f>Raw_Data!C37</f>
        <v>36.799999999999997</v>
      </c>
      <c r="D24">
        <f>Raw_Data!D37</f>
        <v>22</v>
      </c>
      <c r="E24">
        <f>Raw_Data!E37</f>
        <v>31.7</v>
      </c>
      <c r="F24">
        <f>Raw_Data!F37</f>
        <v>28.7</v>
      </c>
      <c r="G24">
        <f>Raw_Data!G37</f>
        <v>26.5</v>
      </c>
      <c r="H24">
        <f>Raw_Data!H37</f>
        <v>25.6</v>
      </c>
      <c r="I24">
        <f>Raw_Data!I37</f>
        <v>24</v>
      </c>
      <c r="J24">
        <f>Raw_Data!J37</f>
        <v>32.700000000000003</v>
      </c>
      <c r="K24">
        <f>Raw_Data!K37</f>
        <v>29.2</v>
      </c>
      <c r="L24">
        <f>Raw_Data!L37</f>
        <v>27</v>
      </c>
      <c r="M24">
        <f>Raw_Data!M37</f>
        <v>25.8</v>
      </c>
      <c r="N24">
        <f>Raw_Data!N37</f>
        <v>24.3</v>
      </c>
      <c r="O24">
        <f>Raw_Data!O37</f>
        <v>30.2</v>
      </c>
      <c r="P24">
        <f>Raw_Data!P37</f>
        <v>28</v>
      </c>
      <c r="Q24">
        <f>Raw_Data!Q37</f>
        <v>27.2</v>
      </c>
      <c r="R24">
        <f>Raw_Data!R37</f>
        <v>25.2</v>
      </c>
      <c r="S24">
        <f>Raw_Data!S37</f>
        <v>24.1</v>
      </c>
    </row>
    <row r="25" spans="1:19" x14ac:dyDescent="0.25">
      <c r="A25">
        <f>Raw_Data!A25</f>
        <v>23</v>
      </c>
      <c r="B25" t="str">
        <f>Raw_Data!B38</f>
        <v>N</v>
      </c>
      <c r="C25">
        <f>Raw_Data!C38</f>
        <v>36.6</v>
      </c>
      <c r="D25">
        <f>Raw_Data!D38</f>
        <v>22</v>
      </c>
      <c r="E25">
        <f>Raw_Data!E38</f>
        <v>30.5</v>
      </c>
      <c r="F25">
        <f>Raw_Data!F38</f>
        <v>26.7</v>
      </c>
      <c r="G25">
        <f>Raw_Data!G38</f>
        <v>26</v>
      </c>
      <c r="H25">
        <f>Raw_Data!H38</f>
        <v>25.5</v>
      </c>
      <c r="I25">
        <f>Raw_Data!I38</f>
        <v>24</v>
      </c>
      <c r="J25">
        <f>Raw_Data!J38</f>
        <v>31.2</v>
      </c>
      <c r="K25">
        <f>Raw_Data!K38</f>
        <v>27</v>
      </c>
      <c r="L25">
        <f>Raw_Data!L38</f>
        <v>26.5</v>
      </c>
      <c r="M25">
        <f>Raw_Data!M38</f>
        <v>26</v>
      </c>
      <c r="N25">
        <f>Raw_Data!N38</f>
        <v>24.2</v>
      </c>
      <c r="O25">
        <f>Raw_Data!O38</f>
        <v>29.7</v>
      </c>
      <c r="P25">
        <f>Raw_Data!P38</f>
        <v>27.2</v>
      </c>
      <c r="Q25">
        <f>Raw_Data!Q38</f>
        <v>26.2</v>
      </c>
      <c r="R25">
        <f>Raw_Data!R38</f>
        <v>24.7</v>
      </c>
      <c r="S25">
        <f>Raw_Data!S38</f>
        <v>23</v>
      </c>
    </row>
    <row r="26" spans="1:19" x14ac:dyDescent="0.25">
      <c r="A26">
        <f>Raw_Data!A26</f>
        <v>24</v>
      </c>
      <c r="B26" t="str">
        <f>Raw_Data!B39</f>
        <v>N</v>
      </c>
      <c r="C26">
        <f>Raw_Data!C39</f>
        <v>36.9</v>
      </c>
      <c r="D26">
        <f>Raw_Data!D39</f>
        <v>22</v>
      </c>
      <c r="E26">
        <f>Raw_Data!E39</f>
        <v>31.4</v>
      </c>
      <c r="F26">
        <f>Raw_Data!F39</f>
        <v>28.2</v>
      </c>
      <c r="G26">
        <f>Raw_Data!G39</f>
        <v>26.5</v>
      </c>
      <c r="H26">
        <f>Raw_Data!H39</f>
        <v>26</v>
      </c>
      <c r="I26">
        <f>Raw_Data!I39</f>
        <v>23.3</v>
      </c>
      <c r="J26">
        <f>Raw_Data!J39</f>
        <v>32.4</v>
      </c>
      <c r="K26">
        <f>Raw_Data!K39</f>
        <v>28.5</v>
      </c>
      <c r="L26">
        <f>Raw_Data!L39</f>
        <v>26.8</v>
      </c>
      <c r="M26">
        <f>Raw_Data!M39</f>
        <v>26.3</v>
      </c>
      <c r="N26">
        <f>Raw_Data!N39</f>
        <v>23.5</v>
      </c>
      <c r="O26">
        <f>Raw_Data!O39</f>
        <v>30.5</v>
      </c>
      <c r="P26">
        <f>Raw_Data!P39</f>
        <v>29</v>
      </c>
      <c r="Q26">
        <f>Raw_Data!Q39</f>
        <v>27</v>
      </c>
      <c r="R26">
        <f>Raw_Data!R39</f>
        <v>26.1</v>
      </c>
      <c r="S26">
        <f>Raw_Data!S39</f>
        <v>24</v>
      </c>
    </row>
    <row r="27" spans="1:19" x14ac:dyDescent="0.25">
      <c r="A27">
        <f>Raw_Data!A27</f>
        <v>25</v>
      </c>
      <c r="B27" t="str">
        <f>Raw_Data!B40</f>
        <v>N</v>
      </c>
      <c r="C27">
        <f>Raw_Data!C40</f>
        <v>36.700000000000003</v>
      </c>
      <c r="D27">
        <f>Raw_Data!D40</f>
        <v>22</v>
      </c>
      <c r="E27">
        <f>Raw_Data!E40</f>
        <v>30.7</v>
      </c>
      <c r="F27">
        <f>Raw_Data!F40</f>
        <v>28.1</v>
      </c>
      <c r="G27">
        <f>Raw_Data!G40</f>
        <v>27</v>
      </c>
      <c r="H27">
        <f>Raw_Data!H40</f>
        <v>26.2</v>
      </c>
      <c r="I27">
        <f>Raw_Data!I40</f>
        <v>24</v>
      </c>
      <c r="J27">
        <f>Raw_Data!J40</f>
        <v>31.2</v>
      </c>
      <c r="K27">
        <f>Raw_Data!K40</f>
        <v>28.6</v>
      </c>
      <c r="L27">
        <f>Raw_Data!L40</f>
        <v>27.3</v>
      </c>
      <c r="M27">
        <f>Raw_Data!M40</f>
        <v>27</v>
      </c>
      <c r="N27">
        <f>Raw_Data!N40</f>
        <v>24.2</v>
      </c>
      <c r="O27">
        <f>Raw_Data!O40</f>
        <v>30.5</v>
      </c>
      <c r="P27">
        <f>Raw_Data!P40</f>
        <v>28.2</v>
      </c>
      <c r="Q27">
        <f>Raw_Data!Q40</f>
        <v>27.6</v>
      </c>
      <c r="R27">
        <f>Raw_Data!R40</f>
        <v>26.6</v>
      </c>
      <c r="S27">
        <f>Raw_Data!S40</f>
        <v>25</v>
      </c>
    </row>
    <row r="28" spans="1:19" x14ac:dyDescent="0.25">
      <c r="A28">
        <f>Raw_Data!A28</f>
        <v>26</v>
      </c>
      <c r="B28" t="str">
        <f>Raw_Data!B42</f>
        <v>N</v>
      </c>
      <c r="C28">
        <f>Raw_Data!C42</f>
        <v>36.799999999999997</v>
      </c>
      <c r="D28">
        <f>Raw_Data!D42</f>
        <v>22</v>
      </c>
      <c r="E28">
        <f>Raw_Data!E42</f>
        <v>30.99</v>
      </c>
      <c r="F28">
        <f>Raw_Data!F42</f>
        <v>29</v>
      </c>
      <c r="G28">
        <f>Raw_Data!G42</f>
        <v>27.4</v>
      </c>
      <c r="H28">
        <f>Raw_Data!H42</f>
        <v>26.8</v>
      </c>
      <c r="I28">
        <f>Raw_Data!I42</f>
        <v>24.6</v>
      </c>
      <c r="J28">
        <f>Raw_Data!J42</f>
        <v>31.1</v>
      </c>
      <c r="K28">
        <f>Raw_Data!K42</f>
        <v>28.8</v>
      </c>
      <c r="L28">
        <f>Raw_Data!L42</f>
        <v>27.8</v>
      </c>
      <c r="M28">
        <f>Raw_Data!M42</f>
        <v>27.2</v>
      </c>
      <c r="N28">
        <f>Raw_Data!N42</f>
        <v>24.8</v>
      </c>
      <c r="O28">
        <f>Raw_Data!O42</f>
        <v>29.8</v>
      </c>
      <c r="P28">
        <f>Raw_Data!P42</f>
        <v>29</v>
      </c>
      <c r="Q28">
        <f>Raw_Data!Q42</f>
        <v>27.4</v>
      </c>
      <c r="R28">
        <f>Raw_Data!R42</f>
        <v>26.8</v>
      </c>
      <c r="S28">
        <f>Raw_Data!S42</f>
        <v>24.2</v>
      </c>
    </row>
    <row r="29" spans="1:19" x14ac:dyDescent="0.25">
      <c r="A29">
        <f>Raw_Data!A29</f>
        <v>27</v>
      </c>
      <c r="B29" t="str">
        <f>Raw_Data!B44</f>
        <v>N</v>
      </c>
      <c r="C29">
        <f>Raw_Data!C44</f>
        <v>36.9</v>
      </c>
      <c r="D29">
        <f>Raw_Data!D44</f>
        <v>22</v>
      </c>
      <c r="E29">
        <f>Raw_Data!E44</f>
        <v>31.5</v>
      </c>
      <c r="F29">
        <f>Raw_Data!F44</f>
        <v>29.4</v>
      </c>
      <c r="G29">
        <f>Raw_Data!G44</f>
        <v>28.8</v>
      </c>
      <c r="H29">
        <f>Raw_Data!H44</f>
        <v>27.5</v>
      </c>
      <c r="I29">
        <f>Raw_Data!I44</f>
        <v>26</v>
      </c>
      <c r="J29">
        <f>Raw_Data!J44</f>
        <v>31.8</v>
      </c>
      <c r="K29">
        <f>Raw_Data!K44</f>
        <v>30.2</v>
      </c>
      <c r="L29">
        <f>Raw_Data!L44</f>
        <v>28.8</v>
      </c>
      <c r="M29">
        <f>Raw_Data!M44</f>
        <v>28</v>
      </c>
      <c r="N29">
        <f>Raw_Data!N44</f>
        <v>26.3</v>
      </c>
      <c r="O29">
        <f>Raw_Data!O44</f>
        <v>30.3</v>
      </c>
      <c r="P29">
        <f>Raw_Data!P44</f>
        <v>29.2</v>
      </c>
      <c r="Q29">
        <f>Raw_Data!Q44</f>
        <v>28.7</v>
      </c>
      <c r="R29">
        <f>Raw_Data!R44</f>
        <v>27.8</v>
      </c>
      <c r="S29">
        <f>Raw_Data!S44</f>
        <v>25.5</v>
      </c>
    </row>
    <row r="30" spans="1:19" x14ac:dyDescent="0.25">
      <c r="A30">
        <f>Raw_Data!A30</f>
        <v>28</v>
      </c>
      <c r="B30" t="str">
        <f>Raw_Data!B46</f>
        <v>N</v>
      </c>
      <c r="C30">
        <f>Raw_Data!C46</f>
        <v>36.9</v>
      </c>
      <c r="D30">
        <f>Raw_Data!D46</f>
        <v>24</v>
      </c>
      <c r="E30">
        <f>Raw_Data!E46</f>
        <v>32</v>
      </c>
      <c r="F30">
        <f>Raw_Data!F46</f>
        <v>30.5</v>
      </c>
      <c r="G30">
        <f>Raw_Data!G46</f>
        <v>27.9</v>
      </c>
      <c r="H30">
        <f>Raw_Data!H46</f>
        <v>27.6</v>
      </c>
      <c r="I30">
        <f>Raw_Data!I46</f>
        <v>26</v>
      </c>
      <c r="J30">
        <f>Raw_Data!J46</f>
        <v>33</v>
      </c>
      <c r="K30">
        <f>Raw_Data!K46</f>
        <v>30.8</v>
      </c>
      <c r="L30">
        <f>Raw_Data!L46</f>
        <v>28.5</v>
      </c>
      <c r="M30">
        <f>Raw_Data!M46</f>
        <v>28.2</v>
      </c>
      <c r="N30">
        <f>Raw_Data!N46</f>
        <v>26</v>
      </c>
      <c r="O30">
        <f>Raw_Data!O46</f>
        <v>31.5</v>
      </c>
      <c r="P30">
        <f>Raw_Data!P46</f>
        <v>30.8</v>
      </c>
      <c r="Q30">
        <f>Raw_Data!Q46</f>
        <v>28.5</v>
      </c>
      <c r="R30">
        <f>Raw_Data!R46</f>
        <v>27.5</v>
      </c>
      <c r="S30">
        <f>Raw_Data!S46</f>
        <v>26.5</v>
      </c>
    </row>
    <row r="31" spans="1:19" x14ac:dyDescent="0.25">
      <c r="A31">
        <f>Raw_Data!A31</f>
        <v>29</v>
      </c>
      <c r="B31" t="str">
        <f>Raw_Data!B47</f>
        <v>N</v>
      </c>
      <c r="C31">
        <f>Raw_Data!C47</f>
        <v>36.700000000000003</v>
      </c>
      <c r="D31">
        <f>Raw_Data!D47</f>
        <v>24</v>
      </c>
      <c r="E31">
        <f>Raw_Data!E47</f>
        <v>34.4</v>
      </c>
      <c r="F31">
        <f>Raw_Data!F47</f>
        <v>32</v>
      </c>
      <c r="G31">
        <f>Raw_Data!G47</f>
        <v>28.7</v>
      </c>
      <c r="H31">
        <f>Raw_Data!H47</f>
        <v>27.4</v>
      </c>
      <c r="I31">
        <f>Raw_Data!I47</f>
        <v>27</v>
      </c>
      <c r="J31">
        <f>Raw_Data!J47</f>
        <v>35</v>
      </c>
      <c r="K31">
        <f>Raw_Data!K47</f>
        <v>32.200000000000003</v>
      </c>
      <c r="L31">
        <f>Raw_Data!L47</f>
        <v>29</v>
      </c>
      <c r="M31">
        <f>Raw_Data!M47</f>
        <v>27.5</v>
      </c>
      <c r="N31">
        <f>Raw_Data!N47</f>
        <v>27.2</v>
      </c>
      <c r="O31">
        <f>Raw_Data!O47</f>
        <v>32</v>
      </c>
      <c r="P31">
        <f>Raw_Data!P47</f>
        <v>31.2</v>
      </c>
      <c r="Q31">
        <f>Raw_Data!Q47</f>
        <v>28.8</v>
      </c>
      <c r="R31">
        <f>Raw_Data!R47</f>
        <v>28.2</v>
      </c>
      <c r="S31">
        <f>Raw_Data!S47</f>
        <v>28</v>
      </c>
    </row>
    <row r="32" spans="1:19" x14ac:dyDescent="0.25">
      <c r="A32">
        <f>Raw_Data!A32</f>
        <v>30</v>
      </c>
      <c r="B32" t="str">
        <f>Raw_Data!B49</f>
        <v>N</v>
      </c>
      <c r="C32">
        <f>Raw_Data!C49</f>
        <v>36.5</v>
      </c>
      <c r="D32">
        <f>Raw_Data!D49</f>
        <v>24</v>
      </c>
      <c r="E32">
        <f>Raw_Data!E49</f>
        <v>32.799999999999997</v>
      </c>
      <c r="F32">
        <f>Raw_Data!F49</f>
        <v>32</v>
      </c>
      <c r="G32">
        <f>Raw_Data!G49</f>
        <v>28.2</v>
      </c>
      <c r="H32">
        <f>Raw_Data!H49</f>
        <v>26.8</v>
      </c>
      <c r="I32">
        <f>Raw_Data!I49</f>
        <v>26.2</v>
      </c>
      <c r="J32">
        <f>Raw_Data!J49</f>
        <v>33.299999999999997</v>
      </c>
      <c r="K32">
        <f>Raw_Data!K49</f>
        <v>32.6</v>
      </c>
      <c r="L32">
        <f>Raw_Data!L49</f>
        <v>29.8</v>
      </c>
      <c r="M32">
        <f>Raw_Data!M49</f>
        <v>27.8</v>
      </c>
      <c r="N32">
        <f>Raw_Data!N49</f>
        <v>26.5</v>
      </c>
      <c r="O32">
        <f>Raw_Data!O49</f>
        <v>32.200000000000003</v>
      </c>
      <c r="P32">
        <f>Raw_Data!P49</f>
        <v>31</v>
      </c>
      <c r="Q32">
        <f>Raw_Data!Q49</f>
        <v>28.5</v>
      </c>
      <c r="R32">
        <f>Raw_Data!R49</f>
        <v>27.8</v>
      </c>
      <c r="S32">
        <f>Raw_Data!S49</f>
        <v>26.2</v>
      </c>
    </row>
    <row r="33" spans="1:19" x14ac:dyDescent="0.25">
      <c r="A33">
        <f>Raw_Data!A33</f>
        <v>31</v>
      </c>
      <c r="B33" t="str">
        <f>Raw_Data!B51</f>
        <v>N</v>
      </c>
      <c r="C33">
        <f>Raw_Data!C51</f>
        <v>36.9</v>
      </c>
      <c r="D33">
        <f>Raw_Data!D51</f>
        <v>24</v>
      </c>
      <c r="E33">
        <f>Raw_Data!E51</f>
        <v>32.799999999999997</v>
      </c>
      <c r="F33">
        <f>Raw_Data!F51</f>
        <v>30.7</v>
      </c>
      <c r="G33">
        <f>Raw_Data!G51</f>
        <v>29.5</v>
      </c>
      <c r="H33">
        <f>Raw_Data!H51</f>
        <v>28.8</v>
      </c>
      <c r="I33">
        <f>Raw_Data!I51</f>
        <v>27.4</v>
      </c>
      <c r="J33">
        <f>Raw_Data!J51</f>
        <v>32.299999999999997</v>
      </c>
      <c r="K33">
        <f>Raw_Data!K51</f>
        <v>30.8</v>
      </c>
      <c r="L33">
        <f>Raw_Data!L51</f>
        <v>30.2</v>
      </c>
      <c r="M33">
        <f>Raw_Data!M51</f>
        <v>29</v>
      </c>
      <c r="N33">
        <f>Raw_Data!N51</f>
        <v>27.8</v>
      </c>
      <c r="O33">
        <f>Raw_Data!O51</f>
        <v>31.2</v>
      </c>
      <c r="P33">
        <f>Raw_Data!P51</f>
        <v>30.4</v>
      </c>
      <c r="Q33">
        <f>Raw_Data!Q51</f>
        <v>30.2</v>
      </c>
      <c r="R33">
        <f>Raw_Data!R51</f>
        <v>27</v>
      </c>
      <c r="S33">
        <f>Raw_Data!S51</f>
        <v>26.5</v>
      </c>
    </row>
    <row r="34" spans="1:19" x14ac:dyDescent="0.25">
      <c r="A34">
        <f>Raw_Data!A34</f>
        <v>32</v>
      </c>
      <c r="B34" t="str">
        <f>Raw_Data!B53</f>
        <v>N</v>
      </c>
      <c r="C34">
        <f>Raw_Data!C53</f>
        <v>36.9</v>
      </c>
      <c r="D34">
        <f>Raw_Data!D53</f>
        <v>24</v>
      </c>
      <c r="E34">
        <f>Raw_Data!E53</f>
        <v>32.799999999999997</v>
      </c>
      <c r="F34">
        <f>Raw_Data!F53</f>
        <v>31.8</v>
      </c>
      <c r="G34">
        <f>Raw_Data!G53</f>
        <v>30.5</v>
      </c>
      <c r="H34">
        <f>Raw_Data!H53</f>
        <v>28.8</v>
      </c>
      <c r="I34">
        <f>Raw_Data!I53</f>
        <v>28</v>
      </c>
      <c r="J34">
        <f>Raw_Data!J53</f>
        <v>32.799999999999997</v>
      </c>
      <c r="K34">
        <f>Raw_Data!K53</f>
        <v>32.5</v>
      </c>
      <c r="L34">
        <f>Raw_Data!L53</f>
        <v>30.9</v>
      </c>
      <c r="M34">
        <f>Raw_Data!M53</f>
        <v>28.7</v>
      </c>
      <c r="N34">
        <f>Raw_Data!N53</f>
        <v>28.1</v>
      </c>
      <c r="O34">
        <f>Raw_Data!O53</f>
        <v>31.7</v>
      </c>
      <c r="P34">
        <f>Raw_Data!P53</f>
        <v>31</v>
      </c>
      <c r="Q34">
        <f>Raw_Data!Q53</f>
        <v>30.1</v>
      </c>
      <c r="R34">
        <f>Raw_Data!R53</f>
        <v>27.4</v>
      </c>
      <c r="S34">
        <f>Raw_Data!S53</f>
        <v>26</v>
      </c>
    </row>
    <row r="35" spans="1:19" x14ac:dyDescent="0.25">
      <c r="A35">
        <f>Raw_Data!A35</f>
        <v>33</v>
      </c>
      <c r="B35" t="str">
        <f>Raw_Data!B54</f>
        <v>N</v>
      </c>
      <c r="C35">
        <f>Raw_Data!C54</f>
        <v>36.6</v>
      </c>
      <c r="D35">
        <f>Raw_Data!D54</f>
        <v>24</v>
      </c>
      <c r="E35">
        <f>Raw_Data!E54</f>
        <v>32.5</v>
      </c>
      <c r="F35">
        <f>Raw_Data!F54</f>
        <v>31</v>
      </c>
      <c r="G35">
        <f>Raw_Data!G54</f>
        <v>30.2</v>
      </c>
      <c r="H35">
        <f>Raw_Data!H54</f>
        <v>27.8</v>
      </c>
      <c r="I35">
        <f>Raw_Data!I54</f>
        <v>27</v>
      </c>
      <c r="J35">
        <f>Raw_Data!J54</f>
        <v>32.6</v>
      </c>
      <c r="K35">
        <f>Raw_Data!K54</f>
        <v>32.200000000000003</v>
      </c>
      <c r="L35">
        <f>Raw_Data!L54</f>
        <v>30.5</v>
      </c>
      <c r="M35">
        <f>Raw_Data!M54</f>
        <v>28.5</v>
      </c>
      <c r="N35">
        <f>Raw_Data!N54</f>
        <v>28.2</v>
      </c>
      <c r="O35">
        <f>Raw_Data!O54</f>
        <v>31.6</v>
      </c>
      <c r="P35">
        <f>Raw_Data!P54</f>
        <v>30.8</v>
      </c>
      <c r="Q35">
        <f>Raw_Data!Q54</f>
        <v>29.7</v>
      </c>
      <c r="R35">
        <f>Raw_Data!R54</f>
        <v>27</v>
      </c>
      <c r="S35">
        <f>Raw_Data!S54</f>
        <v>25.7</v>
      </c>
    </row>
    <row r="36" spans="1:19" x14ac:dyDescent="0.25">
      <c r="A36">
        <f>Raw_Data!A36</f>
        <v>34</v>
      </c>
      <c r="B36" t="str">
        <f>Raw_Data!B56</f>
        <v>N</v>
      </c>
      <c r="C36">
        <f>Raw_Data!C56</f>
        <v>36.799999999999997</v>
      </c>
      <c r="D36">
        <f>Raw_Data!D56</f>
        <v>24</v>
      </c>
      <c r="E36">
        <f>Raw_Data!E56</f>
        <v>32.200000000000003</v>
      </c>
      <c r="F36">
        <f>Raw_Data!F56</f>
        <v>30.4</v>
      </c>
      <c r="G36">
        <f>Raw_Data!G56</f>
        <v>29.8</v>
      </c>
      <c r="H36">
        <f>Raw_Data!H56</f>
        <v>27.6</v>
      </c>
      <c r="I36">
        <f>Raw_Data!I56</f>
        <v>27</v>
      </c>
      <c r="J36">
        <f>Raw_Data!J56</f>
        <v>32.5</v>
      </c>
      <c r="K36">
        <f>Raw_Data!K56</f>
        <v>30.4</v>
      </c>
      <c r="L36">
        <f>Raw_Data!L56</f>
        <v>30</v>
      </c>
      <c r="M36">
        <f>Raw_Data!M56</f>
        <v>28.3</v>
      </c>
      <c r="N36">
        <f>Raw_Data!N56</f>
        <v>27</v>
      </c>
      <c r="O36">
        <f>Raw_Data!O56</f>
        <v>31.5</v>
      </c>
      <c r="P36">
        <f>Raw_Data!P56</f>
        <v>30.2</v>
      </c>
      <c r="Q36">
        <f>Raw_Data!Q56</f>
        <v>28.5</v>
      </c>
      <c r="R36">
        <f>Raw_Data!R56</f>
        <v>27.3</v>
      </c>
      <c r="S36">
        <f>Raw_Data!S56</f>
        <v>26.8</v>
      </c>
    </row>
    <row r="37" spans="1:19" x14ac:dyDescent="0.25">
      <c r="A37">
        <f>Raw_Data!A37</f>
        <v>35</v>
      </c>
      <c r="B37" t="str">
        <f>Raw_Data!B57</f>
        <v>N</v>
      </c>
      <c r="C37">
        <f>Raw_Data!C57</f>
        <v>36.9</v>
      </c>
      <c r="D37">
        <f>Raw_Data!D57</f>
        <v>24</v>
      </c>
      <c r="E37">
        <f>Raw_Data!E57</f>
        <v>32.5</v>
      </c>
      <c r="F37">
        <f>Raw_Data!F57</f>
        <v>30.2</v>
      </c>
      <c r="G37">
        <f>Raw_Data!G57</f>
        <v>28.9</v>
      </c>
      <c r="H37">
        <f>Raw_Data!H57</f>
        <v>27.5</v>
      </c>
      <c r="I37">
        <f>Raw_Data!I57</f>
        <v>26.9</v>
      </c>
      <c r="J37">
        <f>Raw_Data!J57</f>
        <v>33</v>
      </c>
      <c r="K37">
        <f>Raw_Data!K57</f>
        <v>30.4</v>
      </c>
      <c r="L37">
        <f>Raw_Data!L57</f>
        <v>29.2</v>
      </c>
      <c r="M37">
        <f>Raw_Data!M57</f>
        <v>27.5</v>
      </c>
      <c r="N37">
        <f>Raw_Data!N57</f>
        <v>27</v>
      </c>
      <c r="O37">
        <f>Raw_Data!O57</f>
        <v>31.7</v>
      </c>
      <c r="P37">
        <f>Raw_Data!P57</f>
        <v>30</v>
      </c>
      <c r="Q37">
        <f>Raw_Data!Q57</f>
        <v>28.5</v>
      </c>
      <c r="R37">
        <f>Raw_Data!R57</f>
        <v>27.2</v>
      </c>
      <c r="S37">
        <f>Raw_Data!S57</f>
        <v>26.6</v>
      </c>
    </row>
    <row r="38" spans="1:19" x14ac:dyDescent="0.25">
      <c r="A38">
        <f>Raw_Data!A38</f>
        <v>36</v>
      </c>
      <c r="B38" t="str">
        <f>Raw_Data!B58</f>
        <v>N</v>
      </c>
      <c r="C38">
        <f>Raw_Data!C58</f>
        <v>36.700000000000003</v>
      </c>
      <c r="D38">
        <f>Raw_Data!D58</f>
        <v>25</v>
      </c>
      <c r="E38">
        <f>Raw_Data!E58</f>
        <v>32.1</v>
      </c>
      <c r="F38">
        <f>Raw_Data!F58</f>
        <v>29.8</v>
      </c>
      <c r="G38">
        <f>Raw_Data!G58</f>
        <v>28.4</v>
      </c>
      <c r="H38">
        <f>Raw_Data!H58</f>
        <v>27.5</v>
      </c>
      <c r="I38">
        <f>Raw_Data!I58</f>
        <v>26</v>
      </c>
      <c r="J38">
        <f>Raw_Data!J58</f>
        <v>32</v>
      </c>
      <c r="K38">
        <f>Raw_Data!K58</f>
        <v>30.1</v>
      </c>
      <c r="L38">
        <f>Raw_Data!L58</f>
        <v>28.8</v>
      </c>
      <c r="M38">
        <f>Raw_Data!M58</f>
        <v>28</v>
      </c>
      <c r="N38">
        <f>Raw_Data!N58</f>
        <v>26.2</v>
      </c>
      <c r="O38">
        <f>Raw_Data!O58</f>
        <v>31.5</v>
      </c>
      <c r="P38">
        <f>Raw_Data!P58</f>
        <v>30</v>
      </c>
      <c r="Q38">
        <f>Raw_Data!Q58</f>
        <v>28.8</v>
      </c>
      <c r="R38">
        <f>Raw_Data!R58</f>
        <v>27</v>
      </c>
      <c r="S38">
        <f>Raw_Data!S58</f>
        <v>25.9</v>
      </c>
    </row>
    <row r="39" spans="1:19" x14ac:dyDescent="0.25">
      <c r="A39">
        <f>Raw_Data!A39</f>
        <v>37</v>
      </c>
      <c r="B39" t="str">
        <f>Raw_Data!B60</f>
        <v>N</v>
      </c>
      <c r="C39">
        <f>Raw_Data!C60</f>
        <v>36.799999999999997</v>
      </c>
      <c r="D39">
        <f>Raw_Data!D60</f>
        <v>25</v>
      </c>
      <c r="E39">
        <f>Raw_Data!E60</f>
        <v>32.5</v>
      </c>
      <c r="F39">
        <f>Raw_Data!F60</f>
        <v>30.1</v>
      </c>
      <c r="G39">
        <f>Raw_Data!G60</f>
        <v>28.8</v>
      </c>
      <c r="H39">
        <f>Raw_Data!H60</f>
        <v>27.9</v>
      </c>
      <c r="I39">
        <f>Raw_Data!I60</f>
        <v>27.2</v>
      </c>
      <c r="J39">
        <f>Raw_Data!J60</f>
        <v>33.1</v>
      </c>
      <c r="K39">
        <f>Raw_Data!K60</f>
        <v>30.6</v>
      </c>
      <c r="L39">
        <f>Raw_Data!L60</f>
        <v>29.5</v>
      </c>
      <c r="M39">
        <f>Raw_Data!M60</f>
        <v>28.5</v>
      </c>
      <c r="N39">
        <f>Raw_Data!N60</f>
        <v>27.4</v>
      </c>
      <c r="O39">
        <f>Raw_Data!O60</f>
        <v>31.2</v>
      </c>
      <c r="P39">
        <f>Raw_Data!P60</f>
        <v>29.2</v>
      </c>
      <c r="Q39">
        <f>Raw_Data!Q60</f>
        <v>28.8</v>
      </c>
      <c r="R39">
        <f>Raw_Data!R60</f>
        <v>27.7</v>
      </c>
      <c r="S39">
        <f>Raw_Data!S60</f>
        <v>26.3</v>
      </c>
    </row>
    <row r="40" spans="1:19" x14ac:dyDescent="0.25">
      <c r="A40">
        <f>Raw_Data!A40</f>
        <v>38</v>
      </c>
      <c r="B40" t="str">
        <f>Raw_Data!B62</f>
        <v>N</v>
      </c>
      <c r="C40">
        <f>Raw_Data!C62</f>
        <v>36.9</v>
      </c>
      <c r="D40">
        <f>Raw_Data!D62</f>
        <v>25</v>
      </c>
      <c r="E40">
        <f>Raw_Data!E62</f>
        <v>32</v>
      </c>
      <c r="F40">
        <f>Raw_Data!F62</f>
        <v>30.6</v>
      </c>
      <c r="G40">
        <f>Raw_Data!G62</f>
        <v>30.4</v>
      </c>
      <c r="H40">
        <f>Raw_Data!H62</f>
        <v>29</v>
      </c>
      <c r="I40">
        <f>Raw_Data!I62</f>
        <v>28.3</v>
      </c>
      <c r="J40">
        <f>Raw_Data!J62</f>
        <v>32.5</v>
      </c>
      <c r="K40">
        <f>Raw_Data!K62</f>
        <v>30.7</v>
      </c>
      <c r="L40">
        <f>Raw_Data!L62</f>
        <v>30.1</v>
      </c>
      <c r="M40">
        <f>Raw_Data!M62</f>
        <v>29.3</v>
      </c>
      <c r="N40">
        <f>Raw_Data!N62</f>
        <v>28</v>
      </c>
      <c r="O40">
        <f>Raw_Data!O62</f>
        <v>30.6</v>
      </c>
      <c r="P40">
        <f>Raw_Data!P62</f>
        <v>30</v>
      </c>
      <c r="Q40">
        <f>Raw_Data!Q62</f>
        <v>29.4</v>
      </c>
      <c r="R40">
        <f>Raw_Data!R62</f>
        <v>28.7</v>
      </c>
      <c r="S40">
        <f>Raw_Data!S62</f>
        <v>27.2</v>
      </c>
    </row>
    <row r="41" spans="1:19" x14ac:dyDescent="0.25">
      <c r="A41">
        <f>Raw_Data!A41</f>
        <v>39</v>
      </c>
      <c r="B41" t="str">
        <f>Raw_Data!B63</f>
        <v>N</v>
      </c>
      <c r="C41">
        <f>Raw_Data!C63</f>
        <v>36.9</v>
      </c>
      <c r="D41">
        <f>Raw_Data!D63</f>
        <v>25</v>
      </c>
      <c r="E41">
        <f>Raw_Data!E63</f>
        <v>32.299999999999997</v>
      </c>
      <c r="F41">
        <f>Raw_Data!F63</f>
        <v>31.2</v>
      </c>
      <c r="G41">
        <f>Raw_Data!G63</f>
        <v>30.3</v>
      </c>
      <c r="H41">
        <f>Raw_Data!H63</f>
        <v>29.5</v>
      </c>
      <c r="I41">
        <f>Raw_Data!I63</f>
        <v>28.1</v>
      </c>
      <c r="J41">
        <f>Raw_Data!J63</f>
        <v>33.1</v>
      </c>
      <c r="K41">
        <f>Raw_Data!K63</f>
        <v>31.5</v>
      </c>
      <c r="L41">
        <f>Raw_Data!L63</f>
        <v>30.6</v>
      </c>
      <c r="M41">
        <f>Raw_Data!M63</f>
        <v>29.6</v>
      </c>
      <c r="N41">
        <f>Raw_Data!N63</f>
        <v>28.3</v>
      </c>
      <c r="O41">
        <f>Raw_Data!O63</f>
        <v>30.8</v>
      </c>
      <c r="P41">
        <f>Raw_Data!P63</f>
        <v>30.2</v>
      </c>
      <c r="Q41">
        <f>Raw_Data!Q63</f>
        <v>29.4</v>
      </c>
      <c r="R41">
        <f>Raw_Data!R63</f>
        <v>28</v>
      </c>
      <c r="S41">
        <f>Raw_Data!S63</f>
        <v>27</v>
      </c>
    </row>
    <row r="42" spans="1:19" x14ac:dyDescent="0.25">
      <c r="A42">
        <f>Raw_Data!A42</f>
        <v>40</v>
      </c>
      <c r="B42" t="str">
        <f>Raw_Data!B65</f>
        <v>N</v>
      </c>
      <c r="C42">
        <f>Raw_Data!C65</f>
        <v>36.6</v>
      </c>
      <c r="D42">
        <f>Raw_Data!D65</f>
        <v>25</v>
      </c>
      <c r="E42">
        <f>Raw_Data!E65</f>
        <v>32.200000000000003</v>
      </c>
      <c r="F42">
        <f>Raw_Data!F65</f>
        <v>30.6</v>
      </c>
      <c r="G42">
        <f>Raw_Data!G65</f>
        <v>29.5</v>
      </c>
      <c r="H42">
        <f>Raw_Data!H65</f>
        <v>29</v>
      </c>
      <c r="I42">
        <f>Raw_Data!I65</f>
        <v>28.1</v>
      </c>
      <c r="J42">
        <f>Raw_Data!J65</f>
        <v>32.700000000000003</v>
      </c>
      <c r="K42">
        <f>Raw_Data!K65</f>
        <v>31.4</v>
      </c>
      <c r="L42">
        <f>Raw_Data!L65</f>
        <v>30.6</v>
      </c>
      <c r="M42">
        <f>Raw_Data!M65</f>
        <v>29.4</v>
      </c>
      <c r="N42">
        <f>Raw_Data!N65</f>
        <v>28.3</v>
      </c>
      <c r="O42">
        <f>Raw_Data!O65</f>
        <v>31.4</v>
      </c>
      <c r="P42">
        <f>Raw_Data!P65</f>
        <v>30.2</v>
      </c>
      <c r="Q42">
        <f>Raw_Data!Q65</f>
        <v>29.2</v>
      </c>
      <c r="R42">
        <f>Raw_Data!R65</f>
        <v>28.6</v>
      </c>
      <c r="S42">
        <f>Raw_Data!S65</f>
        <v>27</v>
      </c>
    </row>
    <row r="43" spans="1:19" x14ac:dyDescent="0.25">
      <c r="A43">
        <f>Raw_Data!A43</f>
        <v>41</v>
      </c>
      <c r="B43" t="str">
        <f>Raw_Data!B66</f>
        <v>N</v>
      </c>
      <c r="C43">
        <f>Raw_Data!C66</f>
        <v>36.700000000000003</v>
      </c>
      <c r="D43">
        <f>Raw_Data!D66</f>
        <v>25</v>
      </c>
      <c r="E43">
        <f>Raw_Data!E66</f>
        <v>32.700000000000003</v>
      </c>
      <c r="F43">
        <f>Raw_Data!F66</f>
        <v>30.5</v>
      </c>
      <c r="G43">
        <f>Raw_Data!G66</f>
        <v>29.5</v>
      </c>
      <c r="H43">
        <f>Raw_Data!H66</f>
        <v>29</v>
      </c>
      <c r="I43">
        <f>Raw_Data!I66</f>
        <v>28.1</v>
      </c>
      <c r="J43">
        <f>Raw_Data!J66</f>
        <v>33.200000000000003</v>
      </c>
      <c r="K43">
        <f>Raw_Data!K66</f>
        <v>31.1</v>
      </c>
      <c r="L43">
        <f>Raw_Data!L66</f>
        <v>30</v>
      </c>
      <c r="M43">
        <f>Raw_Data!M66</f>
        <v>29.6</v>
      </c>
      <c r="N43">
        <f>Raw_Data!N66</f>
        <v>28</v>
      </c>
      <c r="O43">
        <f>Raw_Data!O66</f>
        <v>31.2</v>
      </c>
      <c r="P43">
        <f>Raw_Data!P66</f>
        <v>29.5</v>
      </c>
      <c r="Q43">
        <f>Raw_Data!Q66</f>
        <v>28.4</v>
      </c>
      <c r="R43">
        <f>Raw_Data!R66</f>
        <v>27.3</v>
      </c>
      <c r="S43">
        <f>Raw_Data!S66</f>
        <v>26.5</v>
      </c>
    </row>
    <row r="44" spans="1:19" x14ac:dyDescent="0.25">
      <c r="A44">
        <f>Raw_Data!A44</f>
        <v>42</v>
      </c>
      <c r="B44" t="str">
        <f>Raw_Data!B67</f>
        <v>N</v>
      </c>
      <c r="C44">
        <f>Raw_Data!C67</f>
        <v>36.9</v>
      </c>
      <c r="D44">
        <f>Raw_Data!D67</f>
        <v>25</v>
      </c>
      <c r="E44">
        <f>Raw_Data!E67</f>
        <v>32.799999999999997</v>
      </c>
      <c r="F44">
        <f>Raw_Data!F67</f>
        <v>31.2</v>
      </c>
      <c r="G44">
        <f>Raw_Data!G67</f>
        <v>29.6</v>
      </c>
      <c r="H44">
        <f>Raw_Data!H67</f>
        <v>28.7</v>
      </c>
      <c r="I44">
        <f>Raw_Data!I67</f>
        <v>27.7</v>
      </c>
      <c r="J44">
        <f>Raw_Data!J67</f>
        <v>33</v>
      </c>
      <c r="K44">
        <f>Raw_Data!K67</f>
        <v>31.7</v>
      </c>
      <c r="L44">
        <f>Raw_Data!L67</f>
        <v>30</v>
      </c>
      <c r="M44">
        <f>Raw_Data!M67</f>
        <v>29</v>
      </c>
      <c r="N44">
        <f>Raw_Data!N67</f>
        <v>28</v>
      </c>
      <c r="O44">
        <f>Raw_Data!O67</f>
        <v>31.1</v>
      </c>
      <c r="P44">
        <f>Raw_Data!P67</f>
        <v>30</v>
      </c>
      <c r="Q44">
        <f>Raw_Data!Q67</f>
        <v>29.2</v>
      </c>
      <c r="R44">
        <f>Raw_Data!R67</f>
        <v>28.1</v>
      </c>
      <c r="S44">
        <f>Raw_Data!S67</f>
        <v>27</v>
      </c>
    </row>
    <row r="45" spans="1:19" x14ac:dyDescent="0.25">
      <c r="A45">
        <f>Raw_Data!A45</f>
        <v>43</v>
      </c>
      <c r="B45" t="str">
        <f>Raw_Data!B68</f>
        <v>N</v>
      </c>
      <c r="C45">
        <f>Raw_Data!C68</f>
        <v>36.799999999999997</v>
      </c>
      <c r="D45">
        <f>Raw_Data!D68</f>
        <v>25</v>
      </c>
      <c r="E45">
        <f>Raw_Data!E68</f>
        <v>32.200000000000003</v>
      </c>
      <c r="F45">
        <f>Raw_Data!F68</f>
        <v>31</v>
      </c>
      <c r="G45">
        <f>Raw_Data!G68</f>
        <v>30.1</v>
      </c>
      <c r="H45">
        <f>Raw_Data!H68</f>
        <v>28.5</v>
      </c>
      <c r="I45">
        <f>Raw_Data!I68</f>
        <v>27.2</v>
      </c>
      <c r="J45">
        <f>Raw_Data!J68</f>
        <v>33</v>
      </c>
      <c r="K45">
        <f>Raw_Data!K68</f>
        <v>31.5</v>
      </c>
      <c r="L45">
        <f>Raw_Data!L68</f>
        <v>30.5</v>
      </c>
      <c r="M45">
        <f>Raw_Data!M68</f>
        <v>28.8</v>
      </c>
      <c r="N45">
        <f>Raw_Data!N68</f>
        <v>27.5</v>
      </c>
      <c r="O45">
        <f>Raw_Data!O68</f>
        <v>31.4</v>
      </c>
      <c r="P45">
        <f>Raw_Data!P68</f>
        <v>30.8</v>
      </c>
      <c r="Q45">
        <f>Raw_Data!Q68</f>
        <v>29.5</v>
      </c>
      <c r="R45">
        <f>Raw_Data!R68</f>
        <v>27.8</v>
      </c>
      <c r="S45">
        <f>Raw_Data!S68</f>
        <v>26.5</v>
      </c>
    </row>
    <row r="46" spans="1:19" x14ac:dyDescent="0.25">
      <c r="A46">
        <f>Raw_Data!A46</f>
        <v>44</v>
      </c>
      <c r="B46" t="str">
        <f>Raw_Data!B70</f>
        <v>N</v>
      </c>
      <c r="C46">
        <f>Raw_Data!C70</f>
        <v>36.6</v>
      </c>
      <c r="D46">
        <f>Raw_Data!D70</f>
        <v>25</v>
      </c>
      <c r="E46">
        <f>Raw_Data!E70</f>
        <v>32.799999999999997</v>
      </c>
      <c r="F46">
        <f>Raw_Data!F70</f>
        <v>30.1</v>
      </c>
      <c r="G46">
        <f>Raw_Data!G70</f>
        <v>28.5</v>
      </c>
      <c r="H46">
        <f>Raw_Data!H70</f>
        <v>28.4</v>
      </c>
      <c r="I46">
        <f>Raw_Data!I70</f>
        <v>27.7</v>
      </c>
      <c r="J46">
        <f>Raw_Data!J70</f>
        <v>33.200000000000003</v>
      </c>
      <c r="K46">
        <f>Raw_Data!K70</f>
        <v>30.6</v>
      </c>
      <c r="L46">
        <f>Raw_Data!L70</f>
        <v>29.3</v>
      </c>
      <c r="M46">
        <f>Raw_Data!M70</f>
        <v>28.7</v>
      </c>
      <c r="N46">
        <f>Raw_Data!N70</f>
        <v>28.8</v>
      </c>
      <c r="O46">
        <f>Raw_Data!O70</f>
        <v>28.9</v>
      </c>
      <c r="P46">
        <f>Raw_Data!P70</f>
        <v>29.1</v>
      </c>
      <c r="Q46">
        <f>Raw_Data!Q70</f>
        <v>26.6</v>
      </c>
      <c r="R46">
        <f>Raw_Data!R70</f>
        <v>24.2</v>
      </c>
      <c r="S46">
        <f>Raw_Data!S70</f>
        <v>24.6</v>
      </c>
    </row>
    <row r="47" spans="1:19" x14ac:dyDescent="0.25">
      <c r="A47">
        <f>Raw_Data!A47</f>
        <v>45</v>
      </c>
      <c r="B47" t="str">
        <f>Raw_Data!B4</f>
        <v>Y</v>
      </c>
      <c r="C47">
        <f>Raw_Data!C4</f>
        <v>36.799999999999997</v>
      </c>
      <c r="D47">
        <f>Raw_Data!D4</f>
        <v>16</v>
      </c>
      <c r="E47">
        <f>Raw_Data!E4</f>
        <v>30</v>
      </c>
      <c r="F47">
        <f>Raw_Data!F4</f>
        <v>29.5</v>
      </c>
      <c r="G47">
        <f>Raw_Data!G4</f>
        <v>26</v>
      </c>
      <c r="H47">
        <f>Raw_Data!H4</f>
        <v>24.5</v>
      </c>
      <c r="I47">
        <f>Raw_Data!I4</f>
        <v>22.5</v>
      </c>
      <c r="J47">
        <f>Raw_Data!J4</f>
        <v>30.5</v>
      </c>
      <c r="K47">
        <f>Raw_Data!K4</f>
        <v>28.5</v>
      </c>
      <c r="L47">
        <f>Raw_Data!L4</f>
        <v>25.5</v>
      </c>
      <c r="M47">
        <f>Raw_Data!M4</f>
        <v>22.5</v>
      </c>
      <c r="N47">
        <f>Raw_Data!N4</f>
        <v>23</v>
      </c>
      <c r="O47">
        <f>Raw_Data!O4</f>
        <v>30</v>
      </c>
      <c r="P47">
        <f>Raw_Data!P4</f>
        <v>28.7</v>
      </c>
      <c r="Q47">
        <f>Raw_Data!Q4</f>
        <v>25.7</v>
      </c>
      <c r="R47">
        <f>Raw_Data!R4</f>
        <v>23.5</v>
      </c>
      <c r="S47">
        <f>Raw_Data!S4</f>
        <v>22.5</v>
      </c>
    </row>
    <row r="48" spans="1:19" x14ac:dyDescent="0.25">
      <c r="A48">
        <f>Raw_Data!A48</f>
        <v>46</v>
      </c>
      <c r="B48" t="str">
        <f>Raw_Data!B6</f>
        <v>Y</v>
      </c>
      <c r="C48">
        <f>Raw_Data!C6</f>
        <v>36.6</v>
      </c>
      <c r="D48">
        <f>Raw_Data!D6</f>
        <v>16</v>
      </c>
      <c r="E48">
        <f>Raw_Data!E6</f>
        <v>30.5</v>
      </c>
      <c r="F48">
        <f>Raw_Data!F6</f>
        <v>27.9</v>
      </c>
      <c r="G48">
        <f>Raw_Data!G6</f>
        <v>25.2</v>
      </c>
      <c r="H48">
        <f>Raw_Data!H6</f>
        <v>23</v>
      </c>
      <c r="I48">
        <f>Raw_Data!I6</f>
        <v>21.7</v>
      </c>
      <c r="J48">
        <f>Raw_Data!J6</f>
        <v>31.2</v>
      </c>
      <c r="K48">
        <f>Raw_Data!K6</f>
        <v>28.5</v>
      </c>
      <c r="L48">
        <f>Raw_Data!L6</f>
        <v>25.4</v>
      </c>
      <c r="M48">
        <f>Raw_Data!M6</f>
        <v>24</v>
      </c>
      <c r="N48">
        <f>Raw_Data!N6</f>
        <v>22</v>
      </c>
      <c r="O48">
        <f>Raw_Data!O6</f>
        <v>32</v>
      </c>
      <c r="P48">
        <f>Raw_Data!P6</f>
        <v>30</v>
      </c>
      <c r="Q48">
        <f>Raw_Data!Q6</f>
        <v>26</v>
      </c>
      <c r="R48">
        <f>Raw_Data!R6</f>
        <v>24</v>
      </c>
      <c r="S48">
        <f>Raw_Data!S6</f>
        <v>22.5</v>
      </c>
    </row>
    <row r="49" spans="1:19" x14ac:dyDescent="0.25">
      <c r="A49">
        <f>Raw_Data!A49</f>
        <v>47</v>
      </c>
      <c r="B49" t="str">
        <f>Raw_Data!B8</f>
        <v>Y</v>
      </c>
      <c r="C49">
        <f>Raw_Data!C8</f>
        <v>35.4</v>
      </c>
      <c r="D49">
        <f>Raw_Data!D8</f>
        <v>16</v>
      </c>
      <c r="E49">
        <f>Raw_Data!E8</f>
        <v>30</v>
      </c>
      <c r="F49">
        <f>Raw_Data!F8</f>
        <v>25.5</v>
      </c>
      <c r="G49">
        <f>Raw_Data!G8</f>
        <v>23</v>
      </c>
      <c r="H49">
        <f>Raw_Data!H8</f>
        <v>22.5</v>
      </c>
      <c r="I49">
        <f>Raw_Data!I8</f>
        <v>21.5</v>
      </c>
      <c r="J49">
        <f>Raw_Data!J8</f>
        <v>30.1</v>
      </c>
      <c r="K49">
        <f>Raw_Data!K8</f>
        <v>26</v>
      </c>
      <c r="L49">
        <f>Raw_Data!L8</f>
        <v>24.1</v>
      </c>
      <c r="M49">
        <f>Raw_Data!M8</f>
        <v>23</v>
      </c>
      <c r="N49">
        <f>Raw_Data!N8</f>
        <v>22</v>
      </c>
      <c r="O49">
        <f>Raw_Data!O8</f>
        <v>30</v>
      </c>
      <c r="P49">
        <f>Raw_Data!P8</f>
        <v>27</v>
      </c>
      <c r="Q49">
        <f>Raw_Data!Q8</f>
        <v>25</v>
      </c>
      <c r="R49">
        <f>Raw_Data!R8</f>
        <v>23</v>
      </c>
      <c r="S49">
        <f>Raw_Data!S8</f>
        <v>22</v>
      </c>
    </row>
    <row r="50" spans="1:19" x14ac:dyDescent="0.25">
      <c r="A50">
        <f>Raw_Data!A50</f>
        <v>48</v>
      </c>
      <c r="B50" t="str">
        <f>Raw_Data!B12</f>
        <v>Y</v>
      </c>
      <c r="C50">
        <f>Raw_Data!C12</f>
        <v>36.6</v>
      </c>
      <c r="D50">
        <f>Raw_Data!D12</f>
        <v>16</v>
      </c>
      <c r="E50">
        <f>Raw_Data!E12</f>
        <v>29.5</v>
      </c>
      <c r="F50">
        <f>Raw_Data!F12</f>
        <v>26.05</v>
      </c>
      <c r="G50">
        <f>Raw_Data!G12</f>
        <v>23.6</v>
      </c>
      <c r="H50">
        <f>Raw_Data!H12</f>
        <v>22.5</v>
      </c>
      <c r="I50">
        <f>Raw_Data!I12</f>
        <v>21.8</v>
      </c>
      <c r="J50">
        <f>Raw_Data!J12</f>
        <v>30.2</v>
      </c>
      <c r="K50">
        <f>Raw_Data!K12</f>
        <v>26.5</v>
      </c>
      <c r="L50">
        <f>Raw_Data!L12</f>
        <v>24</v>
      </c>
      <c r="M50">
        <f>Raw_Data!M12</f>
        <v>23</v>
      </c>
      <c r="N50">
        <f>Raw_Data!N12</f>
        <v>22</v>
      </c>
      <c r="O50">
        <f>Raw_Data!O12</f>
        <v>30.1</v>
      </c>
      <c r="P50">
        <f>Raw_Data!P12</f>
        <v>27.5</v>
      </c>
      <c r="Q50">
        <f>Raw_Data!Q12</f>
        <v>25.8</v>
      </c>
      <c r="R50">
        <f>Raw_Data!R12</f>
        <v>24.4</v>
      </c>
      <c r="S50">
        <f>Raw_Data!S12</f>
        <v>23</v>
      </c>
    </row>
    <row r="51" spans="1:19" x14ac:dyDescent="0.25">
      <c r="A51">
        <f>Raw_Data!A51</f>
        <v>49</v>
      </c>
      <c r="B51" t="str">
        <f>Raw_Data!B14</f>
        <v>Y</v>
      </c>
      <c r="C51">
        <f>Raw_Data!C14</f>
        <v>36.4</v>
      </c>
      <c r="D51">
        <f>Raw_Data!D14</f>
        <v>16</v>
      </c>
      <c r="E51">
        <f>Raw_Data!E14</f>
        <v>28.9</v>
      </c>
      <c r="F51">
        <f>Raw_Data!F14</f>
        <v>23.7</v>
      </c>
      <c r="G51">
        <f>Raw_Data!G14</f>
        <v>23.9</v>
      </c>
      <c r="H51">
        <f>Raw_Data!H14</f>
        <v>23</v>
      </c>
      <c r="I51">
        <f>Raw_Data!I14</f>
        <v>22.2</v>
      </c>
      <c r="J51">
        <f>Raw_Data!J14</f>
        <v>29</v>
      </c>
      <c r="K51">
        <f>Raw_Data!K14</f>
        <v>26</v>
      </c>
      <c r="L51">
        <f>Raw_Data!L14</f>
        <v>24</v>
      </c>
      <c r="M51">
        <f>Raw_Data!M14</f>
        <v>23</v>
      </c>
      <c r="N51">
        <f>Raw_Data!N14</f>
        <v>22.8</v>
      </c>
      <c r="O51">
        <f>Raw_Data!O14</f>
        <v>29</v>
      </c>
      <c r="P51">
        <f>Raw_Data!P14</f>
        <v>26</v>
      </c>
      <c r="Q51">
        <f>Raw_Data!Q14</f>
        <v>23.4</v>
      </c>
      <c r="R51">
        <f>Raw_Data!R14</f>
        <v>21.9</v>
      </c>
      <c r="S51">
        <f>Raw_Data!S14</f>
        <v>20.5</v>
      </c>
    </row>
    <row r="52" spans="1:19" x14ac:dyDescent="0.25">
      <c r="A52">
        <f>Raw_Data!A52</f>
        <v>50</v>
      </c>
      <c r="B52" t="str">
        <f>Raw_Data!B16</f>
        <v>Y</v>
      </c>
      <c r="C52">
        <f>Raw_Data!C16</f>
        <v>36.700000000000003</v>
      </c>
      <c r="D52">
        <f>Raw_Data!D16</f>
        <v>18</v>
      </c>
      <c r="E52">
        <f>Raw_Data!E16</f>
        <v>29.3</v>
      </c>
      <c r="F52">
        <f>Raw_Data!F16</f>
        <v>25.8</v>
      </c>
      <c r="G52">
        <f>Raw_Data!G16</f>
        <v>24.5</v>
      </c>
      <c r="H52">
        <f>Raw_Data!H16</f>
        <v>23.4</v>
      </c>
      <c r="I52">
        <f>Raw_Data!I16</f>
        <v>22.2</v>
      </c>
      <c r="J52">
        <f>Raw_Data!J16</f>
        <v>30.5</v>
      </c>
      <c r="K52">
        <f>Raw_Data!K16</f>
        <v>26</v>
      </c>
      <c r="L52">
        <f>Raw_Data!L16</f>
        <v>25</v>
      </c>
      <c r="M52">
        <f>Raw_Data!M16</f>
        <v>24</v>
      </c>
      <c r="N52">
        <f>Raw_Data!N16</f>
        <v>22.6</v>
      </c>
      <c r="O52">
        <f>Raw_Data!O16</f>
        <v>29.1</v>
      </c>
      <c r="P52">
        <f>Raw_Data!P16</f>
        <v>27.5</v>
      </c>
      <c r="Q52">
        <f>Raw_Data!Q16</f>
        <v>25.8</v>
      </c>
      <c r="R52">
        <f>Raw_Data!R16</f>
        <v>24</v>
      </c>
      <c r="S52">
        <f>Raw_Data!S16</f>
        <v>22.2</v>
      </c>
    </row>
    <row r="53" spans="1:19" x14ac:dyDescent="0.25">
      <c r="A53">
        <f>Raw_Data!A53</f>
        <v>51</v>
      </c>
      <c r="B53" t="str">
        <f>Raw_Data!B18</f>
        <v>Y</v>
      </c>
      <c r="C53">
        <f>Raw_Data!C18</f>
        <v>35.200000000000003</v>
      </c>
      <c r="D53">
        <f>Raw_Data!D18</f>
        <v>18</v>
      </c>
      <c r="E53">
        <f>Raw_Data!E18</f>
        <v>31.2</v>
      </c>
      <c r="F53">
        <f>Raw_Data!F18</f>
        <v>27.5</v>
      </c>
      <c r="G53">
        <f>Raw_Data!G18</f>
        <v>26.2</v>
      </c>
      <c r="H53">
        <f>Raw_Data!H18</f>
        <v>24</v>
      </c>
      <c r="I53">
        <f>Raw_Data!I18</f>
        <v>20.6</v>
      </c>
      <c r="J53">
        <f>Raw_Data!J18</f>
        <v>31</v>
      </c>
      <c r="K53">
        <f>Raw_Data!K18</f>
        <v>28</v>
      </c>
      <c r="L53">
        <f>Raw_Data!L18</f>
        <v>26.6</v>
      </c>
      <c r="M53">
        <f>Raw_Data!M18</f>
        <v>24.2</v>
      </c>
      <c r="N53">
        <f>Raw_Data!N18</f>
        <v>21</v>
      </c>
      <c r="O53">
        <f>Raw_Data!O18</f>
        <v>30</v>
      </c>
      <c r="P53">
        <f>Raw_Data!P18</f>
        <v>28.2</v>
      </c>
      <c r="Q53">
        <f>Raw_Data!Q18</f>
        <v>27</v>
      </c>
      <c r="R53">
        <f>Raw_Data!R18</f>
        <v>24</v>
      </c>
      <c r="S53">
        <f>Raw_Data!S18</f>
        <v>20.5</v>
      </c>
    </row>
    <row r="54" spans="1:19" x14ac:dyDescent="0.25">
      <c r="A54">
        <f>Raw_Data!A54</f>
        <v>52</v>
      </c>
      <c r="B54" t="str">
        <f>Raw_Data!B20</f>
        <v>Y</v>
      </c>
      <c r="C54">
        <f>Raw_Data!C20</f>
        <v>36.799999999999997</v>
      </c>
      <c r="D54">
        <f>Raw_Data!D20</f>
        <v>18</v>
      </c>
      <c r="E54">
        <f>Raw_Data!E20</f>
        <v>30.5</v>
      </c>
      <c r="F54">
        <f>Raw_Data!F20</f>
        <v>26.7</v>
      </c>
      <c r="G54">
        <f>Raw_Data!G20</f>
        <v>24</v>
      </c>
      <c r="H54">
        <f>Raw_Data!H20</f>
        <v>21</v>
      </c>
      <c r="I54">
        <f>Raw_Data!I20</f>
        <v>20.5</v>
      </c>
      <c r="J54">
        <f>Raw_Data!J20</f>
        <v>31.4</v>
      </c>
      <c r="K54">
        <f>Raw_Data!K20</f>
        <v>27</v>
      </c>
      <c r="L54">
        <f>Raw_Data!L20</f>
        <v>24.2</v>
      </c>
      <c r="M54">
        <f>Raw_Data!M20</f>
        <v>21.5</v>
      </c>
      <c r="N54">
        <f>Raw_Data!N20</f>
        <v>20</v>
      </c>
      <c r="O54">
        <f>Raw_Data!O20</f>
        <v>30.5</v>
      </c>
      <c r="P54">
        <f>Raw_Data!P20</f>
        <v>27.8</v>
      </c>
      <c r="Q54">
        <f>Raw_Data!Q20</f>
        <v>24</v>
      </c>
      <c r="R54">
        <f>Raw_Data!R20</f>
        <v>22</v>
      </c>
      <c r="S54">
        <f>Raw_Data!S20</f>
        <v>21</v>
      </c>
    </row>
    <row r="55" spans="1:19" x14ac:dyDescent="0.25">
      <c r="A55">
        <f>Raw_Data!A55</f>
        <v>53</v>
      </c>
      <c r="B55" t="str">
        <f>Raw_Data!B24</f>
        <v>Y</v>
      </c>
      <c r="C55">
        <f>Raw_Data!C24</f>
        <v>36.799999999999997</v>
      </c>
      <c r="D55">
        <f>Raw_Data!D24</f>
        <v>18</v>
      </c>
      <c r="E55">
        <f>Raw_Data!E24</f>
        <v>29.8</v>
      </c>
      <c r="F55">
        <f>Raw_Data!F24</f>
        <v>25.3</v>
      </c>
      <c r="G55">
        <f>Raw_Data!G24</f>
        <v>24.4</v>
      </c>
      <c r="H55">
        <f>Raw_Data!H24</f>
        <v>23.8</v>
      </c>
      <c r="I55">
        <f>Raw_Data!I24</f>
        <v>23</v>
      </c>
      <c r="J55">
        <f>Raw_Data!J24</f>
        <v>30.8</v>
      </c>
      <c r="K55">
        <f>Raw_Data!K24</f>
        <v>26.3</v>
      </c>
      <c r="L55">
        <f>Raw_Data!L24</f>
        <v>25.1</v>
      </c>
      <c r="M55">
        <f>Raw_Data!M24</f>
        <v>24.5</v>
      </c>
      <c r="N55">
        <f>Raw_Data!N24</f>
        <v>23.8</v>
      </c>
      <c r="O55">
        <f>Raw_Data!O24</f>
        <v>29.2</v>
      </c>
      <c r="P55">
        <f>Raw_Data!P24</f>
        <v>25.5</v>
      </c>
      <c r="Q55">
        <f>Raw_Data!Q24</f>
        <v>26.6</v>
      </c>
      <c r="R55">
        <f>Raw_Data!R24</f>
        <v>23.3</v>
      </c>
      <c r="S55">
        <f>Raw_Data!S24</f>
        <v>21.5</v>
      </c>
    </row>
    <row r="56" spans="1:19" x14ac:dyDescent="0.25">
      <c r="A56">
        <f>Raw_Data!A56</f>
        <v>54</v>
      </c>
      <c r="B56" t="str">
        <f>Raw_Data!B29</f>
        <v>Y</v>
      </c>
      <c r="C56">
        <f>Raw_Data!C29</f>
        <v>36.9</v>
      </c>
      <c r="D56">
        <f>Raw_Data!D29</f>
        <v>20</v>
      </c>
      <c r="E56">
        <f>Raw_Data!E29</f>
        <v>30.2</v>
      </c>
      <c r="F56">
        <f>Raw_Data!F29</f>
        <v>28</v>
      </c>
      <c r="G56">
        <f>Raw_Data!G29</f>
        <v>25.8</v>
      </c>
      <c r="H56">
        <f>Raw_Data!H29</f>
        <v>24.5</v>
      </c>
      <c r="I56">
        <f>Raw_Data!I29</f>
        <v>22.5</v>
      </c>
      <c r="J56">
        <f>Raw_Data!J29</f>
        <v>31</v>
      </c>
      <c r="K56">
        <f>Raw_Data!K29</f>
        <v>27.5</v>
      </c>
      <c r="L56">
        <f>Raw_Data!L29</f>
        <v>26</v>
      </c>
      <c r="M56">
        <f>Raw_Data!M29</f>
        <v>24.2</v>
      </c>
      <c r="N56">
        <f>Raw_Data!N29</f>
        <v>22</v>
      </c>
      <c r="O56">
        <f>Raw_Data!O29</f>
        <v>29</v>
      </c>
      <c r="P56">
        <f>Raw_Data!P29</f>
        <v>27.9</v>
      </c>
      <c r="Q56">
        <f>Raw_Data!Q29</f>
        <v>26.2</v>
      </c>
      <c r="R56">
        <f>Raw_Data!R29</f>
        <v>24.2</v>
      </c>
      <c r="S56">
        <f>Raw_Data!S29</f>
        <v>22</v>
      </c>
    </row>
    <row r="57" spans="1:19" x14ac:dyDescent="0.25">
      <c r="A57">
        <f>Raw_Data!A57</f>
        <v>55</v>
      </c>
      <c r="B57" t="str">
        <f>Raw_Data!B31</f>
        <v>Y</v>
      </c>
      <c r="C57">
        <f>Raw_Data!C31</f>
        <v>36.4</v>
      </c>
      <c r="D57">
        <f>Raw_Data!D31</f>
        <v>20</v>
      </c>
      <c r="E57">
        <f>Raw_Data!E31</f>
        <v>30.5</v>
      </c>
      <c r="F57">
        <f>Raw_Data!F31</f>
        <v>28</v>
      </c>
      <c r="G57">
        <f>Raw_Data!G31</f>
        <v>26.5</v>
      </c>
      <c r="H57">
        <f>Raw_Data!H31</f>
        <v>24.8</v>
      </c>
      <c r="I57">
        <f>Raw_Data!I31</f>
        <v>22</v>
      </c>
      <c r="J57">
        <f>Raw_Data!J31</f>
        <v>31</v>
      </c>
      <c r="K57">
        <f>Raw_Data!K31</f>
        <v>29.2</v>
      </c>
      <c r="L57">
        <f>Raw_Data!L31</f>
        <v>27</v>
      </c>
      <c r="M57">
        <f>Raw_Data!M31</f>
        <v>25.5</v>
      </c>
      <c r="N57">
        <f>Raw_Data!N31</f>
        <v>22.8</v>
      </c>
      <c r="O57">
        <f>Raw_Data!O31</f>
        <v>30</v>
      </c>
      <c r="P57">
        <f>Raw_Data!P31</f>
        <v>28.5</v>
      </c>
      <c r="Q57">
        <f>Raw_Data!Q31</f>
        <v>26.8</v>
      </c>
      <c r="R57">
        <f>Raw_Data!R31</f>
        <v>24.8</v>
      </c>
      <c r="S57">
        <f>Raw_Data!S31</f>
        <v>22</v>
      </c>
    </row>
    <row r="58" spans="1:19" x14ac:dyDescent="0.25">
      <c r="A58">
        <f>Raw_Data!A58</f>
        <v>56</v>
      </c>
      <c r="B58" t="str">
        <f>Raw_Data!B33</f>
        <v>Y</v>
      </c>
      <c r="C58">
        <f>Raw_Data!C33</f>
        <v>36.799999999999997</v>
      </c>
      <c r="D58">
        <f>Raw_Data!D33</f>
        <v>20</v>
      </c>
      <c r="E58">
        <f>Raw_Data!E33</f>
        <v>31.5</v>
      </c>
      <c r="F58">
        <f>Raw_Data!F33</f>
        <v>29</v>
      </c>
      <c r="G58">
        <f>Raw_Data!G33</f>
        <v>27.2</v>
      </c>
      <c r="H58">
        <f>Raw_Data!H33</f>
        <v>25.8</v>
      </c>
      <c r="I58">
        <f>Raw_Data!I33</f>
        <v>23</v>
      </c>
      <c r="J58">
        <f>Raw_Data!J33</f>
        <v>31.2</v>
      </c>
      <c r="K58">
        <f>Raw_Data!K33</f>
        <v>29.5</v>
      </c>
      <c r="L58">
        <f>Raw_Data!L33</f>
        <v>27</v>
      </c>
      <c r="M58">
        <f>Raw_Data!M33</f>
        <v>26.2</v>
      </c>
      <c r="N58">
        <f>Raw_Data!N33</f>
        <v>23.3</v>
      </c>
      <c r="O58">
        <f>Raw_Data!O33</f>
        <v>30.5</v>
      </c>
      <c r="P58">
        <f>Raw_Data!P33</f>
        <v>28.5</v>
      </c>
      <c r="Q58">
        <f>Raw_Data!Q33</f>
        <v>26.5</v>
      </c>
      <c r="R58">
        <f>Raw_Data!R33</f>
        <v>24</v>
      </c>
      <c r="S58">
        <f>Raw_Data!S33</f>
        <v>22.2</v>
      </c>
    </row>
    <row r="59" spans="1:19" x14ac:dyDescent="0.25">
      <c r="A59">
        <f>Raw_Data!A59</f>
        <v>57</v>
      </c>
      <c r="B59" t="str">
        <f>Raw_Data!B35</f>
        <v>Y</v>
      </c>
      <c r="C59">
        <f>Raw_Data!C35</f>
        <v>36.700000000000003</v>
      </c>
      <c r="D59">
        <f>Raw_Data!D35</f>
        <v>22</v>
      </c>
      <c r="E59">
        <f>Raw_Data!E35</f>
        <v>30.1</v>
      </c>
      <c r="F59">
        <f>Raw_Data!F35</f>
        <v>27</v>
      </c>
      <c r="G59">
        <f>Raw_Data!G35</f>
        <v>26.4</v>
      </c>
      <c r="H59">
        <f>Raw_Data!H35</f>
        <v>25.1</v>
      </c>
      <c r="I59">
        <f>Raw_Data!I35</f>
        <v>23.5</v>
      </c>
      <c r="J59">
        <f>Raw_Data!J35</f>
        <v>31.2</v>
      </c>
      <c r="K59">
        <f>Raw_Data!K35</f>
        <v>27.2</v>
      </c>
      <c r="L59">
        <f>Raw_Data!L35</f>
        <v>26.8</v>
      </c>
      <c r="M59">
        <f>Raw_Data!M35</f>
        <v>26</v>
      </c>
      <c r="N59">
        <f>Raw_Data!N35</f>
        <v>24</v>
      </c>
      <c r="O59">
        <f>Raw_Data!O35</f>
        <v>29.5</v>
      </c>
      <c r="P59">
        <f>Raw_Data!P35</f>
        <v>28</v>
      </c>
      <c r="Q59">
        <f>Raw_Data!Q35</f>
        <v>26.5</v>
      </c>
      <c r="R59">
        <f>Raw_Data!R35</f>
        <v>25</v>
      </c>
      <c r="S59">
        <f>Raw_Data!S35</f>
        <v>24.2</v>
      </c>
    </row>
    <row r="60" spans="1:19" x14ac:dyDescent="0.25">
      <c r="A60">
        <f>Raw_Data!A60</f>
        <v>58</v>
      </c>
      <c r="B60" t="str">
        <f>Raw_Data!B41</f>
        <v>Y</v>
      </c>
      <c r="C60">
        <f>Raw_Data!C41</f>
        <v>36.799999999999997</v>
      </c>
      <c r="D60">
        <f>Raw_Data!D41</f>
        <v>22</v>
      </c>
      <c r="E60">
        <f>Raw_Data!E41</f>
        <v>30.08</v>
      </c>
      <c r="F60">
        <f>Raw_Data!F41</f>
        <v>28.5</v>
      </c>
      <c r="G60">
        <f>Raw_Data!G41</f>
        <v>27.2</v>
      </c>
      <c r="H60">
        <f>Raw_Data!H41</f>
        <v>26.6</v>
      </c>
      <c r="I60">
        <f>Raw_Data!I41</f>
        <v>24.2</v>
      </c>
      <c r="J60">
        <f>Raw_Data!J41</f>
        <v>31.3</v>
      </c>
      <c r="K60">
        <f>Raw_Data!K41</f>
        <v>28.5</v>
      </c>
      <c r="L60">
        <f>Raw_Data!L41</f>
        <v>27.5</v>
      </c>
      <c r="M60">
        <f>Raw_Data!M41</f>
        <v>27</v>
      </c>
      <c r="N60">
        <f>Raw_Data!N41</f>
        <v>24.5</v>
      </c>
      <c r="O60">
        <f>Raw_Data!O41</f>
        <v>29.3</v>
      </c>
      <c r="P60">
        <f>Raw_Data!P41</f>
        <v>28.6</v>
      </c>
      <c r="Q60">
        <f>Raw_Data!Q41</f>
        <v>27.3</v>
      </c>
      <c r="R60">
        <f>Raw_Data!R41</f>
        <v>26.6</v>
      </c>
      <c r="S60">
        <f>Raw_Data!S41</f>
        <v>24</v>
      </c>
    </row>
    <row r="61" spans="1:19" x14ac:dyDescent="0.25">
      <c r="A61">
        <f>Raw_Data!A61</f>
        <v>59</v>
      </c>
      <c r="B61" t="str">
        <f>Raw_Data!B43</f>
        <v>Y</v>
      </c>
      <c r="C61">
        <f>Raw_Data!C43</f>
        <v>36.9</v>
      </c>
      <c r="D61">
        <f>Raw_Data!D43</f>
        <v>22</v>
      </c>
      <c r="E61">
        <f>Raw_Data!E43</f>
        <v>31.2</v>
      </c>
      <c r="F61">
        <f>Raw_Data!F43</f>
        <v>29.2</v>
      </c>
      <c r="G61">
        <f>Raw_Data!G43</f>
        <v>28.5</v>
      </c>
      <c r="H61">
        <f>Raw_Data!H43</f>
        <v>27.2</v>
      </c>
      <c r="I61">
        <f>Raw_Data!I43</f>
        <v>25.6</v>
      </c>
      <c r="J61">
        <f>Raw_Data!J43</f>
        <v>31.5</v>
      </c>
      <c r="K61">
        <f>Raw_Data!K43</f>
        <v>30</v>
      </c>
      <c r="L61">
        <f>Raw_Data!L43</f>
        <v>28.6</v>
      </c>
      <c r="M61">
        <f>Raw_Data!M43</f>
        <v>27.8</v>
      </c>
      <c r="N61">
        <f>Raw_Data!N43</f>
        <v>25</v>
      </c>
      <c r="O61">
        <f>Raw_Data!O43</f>
        <v>30</v>
      </c>
      <c r="P61">
        <f>Raw_Data!P43</f>
        <v>29</v>
      </c>
      <c r="Q61">
        <f>Raw_Data!Q43</f>
        <v>28.5</v>
      </c>
      <c r="R61">
        <f>Raw_Data!R43</f>
        <v>27.4</v>
      </c>
      <c r="S61">
        <f>Raw_Data!S43</f>
        <v>25.2</v>
      </c>
    </row>
    <row r="62" spans="1:19" x14ac:dyDescent="0.25">
      <c r="A62">
        <f>Raw_Data!A62</f>
        <v>60</v>
      </c>
      <c r="B62" t="str">
        <f>Raw_Data!B45</f>
        <v>Y</v>
      </c>
      <c r="C62">
        <f>Raw_Data!C45</f>
        <v>36.9</v>
      </c>
      <c r="D62">
        <f>Raw_Data!D45</f>
        <v>24</v>
      </c>
      <c r="E62">
        <f>Raw_Data!E45</f>
        <v>31.8</v>
      </c>
      <c r="F62">
        <f>Raw_Data!F45</f>
        <v>30.2</v>
      </c>
      <c r="G62">
        <f>Raw_Data!G45</f>
        <v>27.8</v>
      </c>
      <c r="H62">
        <f>Raw_Data!H45</f>
        <v>27.2</v>
      </c>
      <c r="I62">
        <f>Raw_Data!I45</f>
        <v>25.5</v>
      </c>
      <c r="J62">
        <f>Raw_Data!J45</f>
        <v>32</v>
      </c>
      <c r="K62">
        <f>Raw_Data!K45</f>
        <v>30.5</v>
      </c>
      <c r="L62">
        <f>Raw_Data!L45</f>
        <v>28.2</v>
      </c>
      <c r="M62">
        <f>Raw_Data!M45</f>
        <v>27.9</v>
      </c>
      <c r="N62">
        <f>Raw_Data!N45</f>
        <v>25</v>
      </c>
      <c r="O62">
        <f>Raw_Data!O45</f>
        <v>31</v>
      </c>
      <c r="P62">
        <f>Raw_Data!P45</f>
        <v>30.7</v>
      </c>
      <c r="Q62">
        <f>Raw_Data!Q45</f>
        <v>28</v>
      </c>
      <c r="R62">
        <f>Raw_Data!R45</f>
        <v>27</v>
      </c>
      <c r="S62">
        <f>Raw_Data!S45</f>
        <v>26</v>
      </c>
    </row>
    <row r="63" spans="1:19" x14ac:dyDescent="0.25">
      <c r="A63">
        <f>Raw_Data!A63</f>
        <v>61</v>
      </c>
      <c r="B63" t="str">
        <f>Raw_Data!B48</f>
        <v>Y</v>
      </c>
      <c r="C63">
        <f>Raw_Data!C48</f>
        <v>36.5</v>
      </c>
      <c r="D63">
        <f>Raw_Data!D48</f>
        <v>24</v>
      </c>
      <c r="E63">
        <f>Raw_Data!E48</f>
        <v>32.5</v>
      </c>
      <c r="F63">
        <f>Raw_Data!F48</f>
        <v>31.8</v>
      </c>
      <c r="G63">
        <f>Raw_Data!G48</f>
        <v>28</v>
      </c>
      <c r="H63">
        <f>Raw_Data!H48</f>
        <v>26.5</v>
      </c>
      <c r="I63">
        <f>Raw_Data!I48</f>
        <v>26</v>
      </c>
      <c r="J63">
        <f>Raw_Data!J48</f>
        <v>33</v>
      </c>
      <c r="K63">
        <f>Raw_Data!K48</f>
        <v>32.4</v>
      </c>
      <c r="L63">
        <f>Raw_Data!L48</f>
        <v>29.5</v>
      </c>
      <c r="M63">
        <f>Raw_Data!M48</f>
        <v>27.5</v>
      </c>
      <c r="N63">
        <f>Raw_Data!N48</f>
        <v>26.2</v>
      </c>
      <c r="O63">
        <f>Raw_Data!O48</f>
        <v>32</v>
      </c>
      <c r="P63">
        <f>Raw_Data!P48</f>
        <v>30.8</v>
      </c>
      <c r="Q63">
        <f>Raw_Data!Q48</f>
        <v>28.3</v>
      </c>
      <c r="R63">
        <f>Raw_Data!R48</f>
        <v>27.5</v>
      </c>
      <c r="S63">
        <f>Raw_Data!S48</f>
        <v>26</v>
      </c>
    </row>
    <row r="64" spans="1:19" x14ac:dyDescent="0.25">
      <c r="A64">
        <f>Raw_Data!A64</f>
        <v>62</v>
      </c>
      <c r="B64" t="str">
        <f>Raw_Data!B50</f>
        <v>Y</v>
      </c>
      <c r="C64">
        <f>Raw_Data!C50</f>
        <v>36.9</v>
      </c>
      <c r="D64">
        <f>Raw_Data!D50</f>
        <v>24</v>
      </c>
      <c r="E64">
        <f>Raw_Data!E50</f>
        <v>32.200000000000003</v>
      </c>
      <c r="F64">
        <f>Raw_Data!F50</f>
        <v>30.5</v>
      </c>
      <c r="G64">
        <f>Raw_Data!G50</f>
        <v>29.3</v>
      </c>
      <c r="H64">
        <f>Raw_Data!H50</f>
        <v>28.5</v>
      </c>
      <c r="I64">
        <f>Raw_Data!I50</f>
        <v>27.1</v>
      </c>
      <c r="J64">
        <f>Raw_Data!J50</f>
        <v>31.5</v>
      </c>
      <c r="K64">
        <f>Raw_Data!K50</f>
        <v>30.5</v>
      </c>
      <c r="L64">
        <f>Raw_Data!L50</f>
        <v>30</v>
      </c>
      <c r="M64">
        <f>Raw_Data!M50</f>
        <v>28.8</v>
      </c>
      <c r="N64">
        <f>Raw_Data!N50</f>
        <v>27.5</v>
      </c>
      <c r="O64">
        <f>Raw_Data!O50</f>
        <v>30.9</v>
      </c>
      <c r="P64">
        <f>Raw_Data!P50</f>
        <v>30.2</v>
      </c>
      <c r="Q64">
        <f>Raw_Data!Q50</f>
        <v>29</v>
      </c>
      <c r="R64">
        <f>Raw_Data!R50</f>
        <v>28.8</v>
      </c>
      <c r="S64">
        <f>Raw_Data!S50</f>
        <v>26</v>
      </c>
    </row>
    <row r="65" spans="1:19" x14ac:dyDescent="0.25">
      <c r="A65">
        <f>Raw_Data!A65</f>
        <v>63</v>
      </c>
      <c r="B65" t="str">
        <f>Raw_Data!B52</f>
        <v>Y</v>
      </c>
      <c r="C65">
        <f>Raw_Data!C52</f>
        <v>36.9</v>
      </c>
      <c r="D65">
        <f>Raw_Data!D52</f>
        <v>24</v>
      </c>
      <c r="E65">
        <f>Raw_Data!E52</f>
        <v>32.700000000000003</v>
      </c>
      <c r="F65">
        <f>Raw_Data!F52</f>
        <v>31.5</v>
      </c>
      <c r="G65">
        <f>Raw_Data!G52</f>
        <v>30.2</v>
      </c>
      <c r="H65">
        <f>Raw_Data!H52</f>
        <v>28.5</v>
      </c>
      <c r="I65">
        <f>Raw_Data!I52</f>
        <v>27.8</v>
      </c>
      <c r="J65">
        <f>Raw_Data!J52</f>
        <v>32.799999999999997</v>
      </c>
      <c r="K65">
        <f>Raw_Data!K52</f>
        <v>32.200000000000003</v>
      </c>
      <c r="L65">
        <f>Raw_Data!L52</f>
        <v>30.5</v>
      </c>
      <c r="M65">
        <f>Raw_Data!M52</f>
        <v>28.5</v>
      </c>
      <c r="N65">
        <f>Raw_Data!N52</f>
        <v>28</v>
      </c>
      <c r="O65">
        <f>Raw_Data!O52</f>
        <v>31.5</v>
      </c>
      <c r="P65">
        <f>Raw_Data!P52</f>
        <v>30.8</v>
      </c>
      <c r="Q65">
        <f>Raw_Data!Q52</f>
        <v>29.3</v>
      </c>
      <c r="R65">
        <f>Raw_Data!R52</f>
        <v>27</v>
      </c>
      <c r="S65">
        <f>Raw_Data!S52</f>
        <v>25.5</v>
      </c>
    </row>
    <row r="66" spans="1:19" x14ac:dyDescent="0.25">
      <c r="A66">
        <f>Raw_Data!A66</f>
        <v>64</v>
      </c>
      <c r="B66" t="str">
        <f>Raw_Data!B55</f>
        <v>Y</v>
      </c>
      <c r="C66">
        <f>Raw_Data!C55</f>
        <v>36.799999999999997</v>
      </c>
      <c r="D66">
        <f>Raw_Data!D55</f>
        <v>24</v>
      </c>
      <c r="E66">
        <f>Raw_Data!E55</f>
        <v>31.3</v>
      </c>
      <c r="F66">
        <f>Raw_Data!F55</f>
        <v>30.1</v>
      </c>
      <c r="G66">
        <f>Raw_Data!G55</f>
        <v>29.5</v>
      </c>
      <c r="H66">
        <f>Raw_Data!H55</f>
        <v>27.5</v>
      </c>
      <c r="I66">
        <f>Raw_Data!I55</f>
        <v>26.9</v>
      </c>
      <c r="J66">
        <f>Raw_Data!J55</f>
        <v>31.5</v>
      </c>
      <c r="K66">
        <f>Raw_Data!K55</f>
        <v>30</v>
      </c>
      <c r="L66">
        <f>Raw_Data!L55</f>
        <v>29.7</v>
      </c>
      <c r="M66">
        <f>Raw_Data!M55</f>
        <v>28</v>
      </c>
      <c r="N66">
        <f>Raw_Data!N55</f>
        <v>27</v>
      </c>
      <c r="O66">
        <f>Raw_Data!O55</f>
        <v>31</v>
      </c>
      <c r="P66">
        <f>Raw_Data!P55</f>
        <v>29.7</v>
      </c>
      <c r="Q66">
        <f>Raw_Data!Q55</f>
        <v>28</v>
      </c>
      <c r="R66">
        <f>Raw_Data!R55</f>
        <v>27</v>
      </c>
      <c r="S66">
        <f>Raw_Data!S55</f>
        <v>26.8</v>
      </c>
    </row>
    <row r="67" spans="1:19" x14ac:dyDescent="0.25">
      <c r="A67">
        <f>Raw_Data!A67</f>
        <v>65</v>
      </c>
      <c r="B67" t="str">
        <f>Raw_Data!B59</f>
        <v>Y</v>
      </c>
      <c r="C67">
        <f>Raw_Data!C59</f>
        <v>36.799999999999997</v>
      </c>
      <c r="D67">
        <f>Raw_Data!D59</f>
        <v>25</v>
      </c>
      <c r="E67">
        <f>Raw_Data!E59</f>
        <v>32.1</v>
      </c>
      <c r="F67">
        <f>Raw_Data!F59</f>
        <v>29.4</v>
      </c>
      <c r="G67">
        <f>Raw_Data!G59</f>
        <v>28.5</v>
      </c>
      <c r="H67">
        <f>Raw_Data!H59</f>
        <v>27.8</v>
      </c>
      <c r="I67">
        <f>Raw_Data!I59</f>
        <v>27</v>
      </c>
      <c r="J67">
        <f>Raw_Data!J59</f>
        <v>32.6</v>
      </c>
      <c r="K67">
        <f>Raw_Data!K59</f>
        <v>30.1</v>
      </c>
      <c r="L67">
        <f>Raw_Data!L59</f>
        <v>29</v>
      </c>
      <c r="M67">
        <f>Raw_Data!M59</f>
        <v>28.5</v>
      </c>
      <c r="N67">
        <f>Raw_Data!N59</f>
        <v>27.2</v>
      </c>
      <c r="O67">
        <f>Raw_Data!O59</f>
        <v>31</v>
      </c>
      <c r="P67">
        <f>Raw_Data!P59</f>
        <v>29</v>
      </c>
      <c r="Q67">
        <f>Raw_Data!Q59</f>
        <v>28.5</v>
      </c>
      <c r="R67">
        <f>Raw_Data!R59</f>
        <v>27</v>
      </c>
      <c r="S67">
        <f>Raw_Data!S59</f>
        <v>26</v>
      </c>
    </row>
    <row r="68" spans="1:19" x14ac:dyDescent="0.25">
      <c r="A68">
        <f>Raw_Data!A68</f>
        <v>66</v>
      </c>
      <c r="B68" t="str">
        <f>Raw_Data!B61</f>
        <v>Y</v>
      </c>
      <c r="C68">
        <f>Raw_Data!C61</f>
        <v>36.9</v>
      </c>
      <c r="D68">
        <f>Raw_Data!D61</f>
        <v>25</v>
      </c>
      <c r="E68">
        <f>Raw_Data!E61</f>
        <v>31.5</v>
      </c>
      <c r="F68">
        <f>Raw_Data!F61</f>
        <v>30.1</v>
      </c>
      <c r="G68">
        <f>Raw_Data!G61</f>
        <v>30.1</v>
      </c>
      <c r="H68">
        <f>Raw_Data!H61</f>
        <v>28.9</v>
      </c>
      <c r="I68">
        <f>Raw_Data!I61</f>
        <v>28.2</v>
      </c>
      <c r="J68">
        <f>Raw_Data!J61</f>
        <v>32.200000000000003</v>
      </c>
      <c r="K68">
        <f>Raw_Data!K61</f>
        <v>30.5</v>
      </c>
      <c r="L68">
        <f>Raw_Data!L61</f>
        <v>29.8</v>
      </c>
      <c r="M68">
        <f>Raw_Data!M61</f>
        <v>29</v>
      </c>
      <c r="N68">
        <f>Raw_Data!N61</f>
        <v>28</v>
      </c>
      <c r="O68">
        <f>Raw_Data!O61</f>
        <v>30.5</v>
      </c>
      <c r="P68">
        <f>Raw_Data!P61</f>
        <v>29.9</v>
      </c>
      <c r="Q68">
        <f>Raw_Data!Q61</f>
        <v>29</v>
      </c>
      <c r="R68">
        <f>Raw_Data!R61</f>
        <v>28</v>
      </c>
      <c r="S68">
        <f>Raw_Data!S61</f>
        <v>27</v>
      </c>
    </row>
    <row r="69" spans="1:19" x14ac:dyDescent="0.25">
      <c r="A69">
        <f>Raw_Data!A69</f>
        <v>67</v>
      </c>
      <c r="B69" t="str">
        <f>Raw_Data!B64</f>
        <v>Y</v>
      </c>
      <c r="C69">
        <f>Raw_Data!C64</f>
        <v>36.6</v>
      </c>
      <c r="D69">
        <f>Raw_Data!D64</f>
        <v>25</v>
      </c>
      <c r="E69">
        <f>Raw_Data!E64</f>
        <v>31.8</v>
      </c>
      <c r="F69">
        <f>Raw_Data!F64</f>
        <v>30.5</v>
      </c>
      <c r="G69">
        <f>Raw_Data!G64</f>
        <v>29.5</v>
      </c>
      <c r="H69">
        <f>Raw_Data!H64</f>
        <v>28.8</v>
      </c>
      <c r="I69">
        <f>Raw_Data!I64</f>
        <v>27.8</v>
      </c>
      <c r="J69">
        <f>Raw_Data!J64</f>
        <v>32.700000000000003</v>
      </c>
      <c r="K69">
        <f>Raw_Data!K64</f>
        <v>31.1</v>
      </c>
      <c r="L69">
        <f>Raw_Data!L64</f>
        <v>30.4</v>
      </c>
      <c r="M69">
        <f>Raw_Data!M64</f>
        <v>29.1</v>
      </c>
      <c r="N69">
        <f>Raw_Data!N64</f>
        <v>28</v>
      </c>
      <c r="O69">
        <f>Raw_Data!O64</f>
        <v>31</v>
      </c>
      <c r="P69">
        <f>Raw_Data!P64</f>
        <v>30.2</v>
      </c>
      <c r="Q69">
        <f>Raw_Data!Q64</f>
        <v>29</v>
      </c>
      <c r="R69">
        <f>Raw_Data!R64</f>
        <v>28.3</v>
      </c>
      <c r="S69">
        <f>Raw_Data!S64</f>
        <v>27</v>
      </c>
    </row>
    <row r="70" spans="1:19" x14ac:dyDescent="0.25">
      <c r="A70">
        <f>Raw_Data!A70</f>
        <v>68</v>
      </c>
      <c r="B70" t="str">
        <f>Raw_Data!B69</f>
        <v>Y</v>
      </c>
      <c r="C70">
        <f>Raw_Data!C69</f>
        <v>36.6</v>
      </c>
      <c r="D70">
        <f>Raw_Data!D69</f>
        <v>25</v>
      </c>
      <c r="E70">
        <f>Raw_Data!E69</f>
        <v>31.7</v>
      </c>
      <c r="F70">
        <f>Raw_Data!F69</f>
        <v>29.6</v>
      </c>
      <c r="G70">
        <f>Raw_Data!G69</f>
        <v>28.3</v>
      </c>
      <c r="H70">
        <f>Raw_Data!H69</f>
        <v>27.8</v>
      </c>
      <c r="I70">
        <f>Raw_Data!I69</f>
        <v>27.6</v>
      </c>
      <c r="J70">
        <f>Raw_Data!J69</f>
        <v>32.6</v>
      </c>
      <c r="K70">
        <f>Raw_Data!K69</f>
        <v>30.1</v>
      </c>
      <c r="L70">
        <f>Raw_Data!L69</f>
        <v>29.3</v>
      </c>
      <c r="M70">
        <f>Raw_Data!M69</f>
        <v>28.8</v>
      </c>
      <c r="N70">
        <f>Raw_Data!N69</f>
        <v>28.5</v>
      </c>
      <c r="O70">
        <f>Raw_Data!O69</f>
        <v>29.2</v>
      </c>
      <c r="P70">
        <f>Raw_Data!P69</f>
        <v>27.7</v>
      </c>
      <c r="Q70">
        <f>Raw_Data!Q69</f>
        <v>26.2</v>
      </c>
      <c r="R70">
        <f>Raw_Data!R69</f>
        <v>24.1</v>
      </c>
      <c r="S70">
        <f>Raw_Data!S69</f>
        <v>23.9</v>
      </c>
    </row>
  </sheetData>
  <sortState xmlns:xlrd2="http://schemas.microsoft.com/office/spreadsheetml/2017/richdata2" ref="B3:S70">
    <sortCondition ref="B3:B7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20CC-20C8-470B-A4EB-49FA9969EA50}">
  <dimension ref="A1:O47"/>
  <sheetViews>
    <sheetView workbookViewId="0">
      <selection activeCell="H31" sqref="H31"/>
    </sheetView>
  </sheetViews>
  <sheetFormatPr defaultRowHeight="13.2" x14ac:dyDescent="0.25"/>
  <cols>
    <col min="2" max="2" width="10.77734375" customWidth="1"/>
    <col min="3" max="3" width="11.77734375" customWidth="1"/>
    <col min="12" max="12" width="14.6640625" customWidth="1"/>
    <col min="13" max="13" width="16.21875" customWidth="1"/>
  </cols>
  <sheetData>
    <row r="1" spans="2:15" x14ac:dyDescent="0.25">
      <c r="B1" t="s">
        <v>44</v>
      </c>
      <c r="J1" t="s">
        <v>45</v>
      </c>
    </row>
    <row r="2" spans="2:15" x14ac:dyDescent="0.25">
      <c r="B2" t="s">
        <v>9</v>
      </c>
      <c r="C2" t="str">
        <f>'RAWDATA SORTED BY_EYEglasses'!F2</f>
        <v>2M</v>
      </c>
      <c r="D2" t="str">
        <f>'RAWDATA SORTED BY_EYEglasses'!G2</f>
        <v>3M</v>
      </c>
      <c r="E2" t="str">
        <f>'RAWDATA SORTED BY_EYEglasses'!H2</f>
        <v>4M</v>
      </c>
      <c r="F2" t="str">
        <f>'RAWDATA SORTED BY_EYEglasses'!I2</f>
        <v>5M</v>
      </c>
      <c r="K2" t="str">
        <f>B2</f>
        <v>1M</v>
      </c>
      <c r="L2" t="str">
        <f>C2</f>
        <v>2M</v>
      </c>
      <c r="M2" t="str">
        <f>D2</f>
        <v>3M</v>
      </c>
      <c r="N2" t="str">
        <f>E2</f>
        <v>4M</v>
      </c>
      <c r="O2" t="str">
        <f>F2</f>
        <v>5M</v>
      </c>
    </row>
    <row r="3" spans="2:15" x14ac:dyDescent="0.25">
      <c r="B3">
        <f>'RAWDATA SORTED BY_EYEglasses'!E3</f>
        <v>30.3</v>
      </c>
      <c r="C3">
        <f>'RAWDATA SORTED BY_EYEglasses'!F3</f>
        <v>25.5</v>
      </c>
      <c r="D3">
        <f>'RAWDATA SORTED BY_EYEglasses'!G3</f>
        <v>23</v>
      </c>
      <c r="E3">
        <f>'RAWDATA SORTED BY_EYEglasses'!H3</f>
        <v>22.06</v>
      </c>
      <c r="F3">
        <f>'RAWDATA SORTED BY_EYEglasses'!I3</f>
        <v>21.5</v>
      </c>
      <c r="K3">
        <f>'RAWDATA SORTED BY_EYEglasses'!E47</f>
        <v>30</v>
      </c>
      <c r="L3">
        <f>'RAWDATA SORTED BY_EYEglasses'!F47</f>
        <v>29.5</v>
      </c>
      <c r="M3">
        <f>'RAWDATA SORTED BY_EYEglasses'!G47</f>
        <v>26</v>
      </c>
      <c r="N3">
        <f>'RAWDATA SORTED BY_EYEglasses'!H47</f>
        <v>24.5</v>
      </c>
      <c r="O3">
        <f>'RAWDATA SORTED BY_EYEglasses'!I47</f>
        <v>22.5</v>
      </c>
    </row>
    <row r="4" spans="2:15" x14ac:dyDescent="0.25">
      <c r="B4">
        <f>'RAWDATA SORTED BY_EYEglasses'!E4</f>
        <v>30.3</v>
      </c>
      <c r="C4">
        <f>'RAWDATA SORTED BY_EYEglasses'!F4</f>
        <v>30</v>
      </c>
      <c r="D4">
        <f>'RAWDATA SORTED BY_EYEglasses'!G4</f>
        <v>25.5</v>
      </c>
      <c r="E4">
        <f>'RAWDATA SORTED BY_EYEglasses'!H4</f>
        <v>23.5</v>
      </c>
      <c r="F4">
        <f>'RAWDATA SORTED BY_EYEglasses'!I4</f>
        <v>22</v>
      </c>
      <c r="K4">
        <f>'RAWDATA SORTED BY_EYEglasses'!E48</f>
        <v>30.5</v>
      </c>
      <c r="L4">
        <f>'RAWDATA SORTED BY_EYEglasses'!F48</f>
        <v>27.9</v>
      </c>
      <c r="M4">
        <f>'RAWDATA SORTED BY_EYEglasses'!G48</f>
        <v>25.2</v>
      </c>
      <c r="N4">
        <f>'RAWDATA SORTED BY_EYEglasses'!H48</f>
        <v>23</v>
      </c>
      <c r="O4">
        <f>'RAWDATA SORTED BY_EYEglasses'!I48</f>
        <v>21.7</v>
      </c>
    </row>
    <row r="5" spans="2:15" x14ac:dyDescent="0.25">
      <c r="B5">
        <f>'RAWDATA SORTED BY_EYEglasses'!E5</f>
        <v>31</v>
      </c>
      <c r="C5">
        <f>'RAWDATA SORTED BY_EYEglasses'!F5</f>
        <v>29.1</v>
      </c>
      <c r="D5">
        <f>'RAWDATA SORTED BY_EYEglasses'!G5</f>
        <v>25.5</v>
      </c>
      <c r="E5">
        <f>'RAWDATA SORTED BY_EYEglasses'!H5</f>
        <v>23.5</v>
      </c>
      <c r="F5">
        <f>'RAWDATA SORTED BY_EYEglasses'!I5</f>
        <v>22</v>
      </c>
      <c r="K5">
        <f>'RAWDATA SORTED BY_EYEglasses'!E49</f>
        <v>30</v>
      </c>
      <c r="L5">
        <f>'RAWDATA SORTED BY_EYEglasses'!F49</f>
        <v>25.5</v>
      </c>
      <c r="M5">
        <f>'RAWDATA SORTED BY_EYEglasses'!G49</f>
        <v>23</v>
      </c>
      <c r="N5">
        <f>'RAWDATA SORTED BY_EYEglasses'!H49</f>
        <v>22.5</v>
      </c>
      <c r="O5">
        <f>'RAWDATA SORTED BY_EYEglasses'!I49</f>
        <v>21.5</v>
      </c>
    </row>
    <row r="6" spans="2:15" x14ac:dyDescent="0.25">
      <c r="B6">
        <f>'RAWDATA SORTED BY_EYEglasses'!E6</f>
        <v>30.5</v>
      </c>
      <c r="C6">
        <f>'RAWDATA SORTED BY_EYEglasses'!F6</f>
        <v>26</v>
      </c>
      <c r="D6">
        <f>'RAWDATA SORTED BY_EYEglasses'!G6</f>
        <v>23.5</v>
      </c>
      <c r="E6">
        <f>'RAWDATA SORTED BY_EYEglasses'!H6</f>
        <v>22.7</v>
      </c>
      <c r="F6">
        <f>'RAWDATA SORTED BY_EYEglasses'!I6</f>
        <v>21</v>
      </c>
      <c r="K6">
        <f>'RAWDATA SORTED BY_EYEglasses'!E50</f>
        <v>29.5</v>
      </c>
      <c r="L6">
        <f>'RAWDATA SORTED BY_EYEglasses'!F50</f>
        <v>26.05</v>
      </c>
      <c r="M6">
        <f>'RAWDATA SORTED BY_EYEglasses'!G50</f>
        <v>23.6</v>
      </c>
      <c r="N6">
        <f>'RAWDATA SORTED BY_EYEglasses'!H50</f>
        <v>22.5</v>
      </c>
      <c r="O6">
        <f>'RAWDATA SORTED BY_EYEglasses'!I50</f>
        <v>21.8</v>
      </c>
    </row>
    <row r="7" spans="2:15" x14ac:dyDescent="0.25">
      <c r="B7">
        <f>'RAWDATA SORTED BY_EYEglasses'!E7</f>
        <v>30</v>
      </c>
      <c r="C7">
        <f>'RAWDATA SORTED BY_EYEglasses'!F7</f>
        <v>26</v>
      </c>
      <c r="D7">
        <f>'RAWDATA SORTED BY_EYEglasses'!G7</f>
        <v>24.3</v>
      </c>
      <c r="E7">
        <f>'RAWDATA SORTED BY_EYEglasses'!H7</f>
        <v>22.9</v>
      </c>
      <c r="F7">
        <f>'RAWDATA SORTED BY_EYEglasses'!I7</f>
        <v>21.5</v>
      </c>
      <c r="K7">
        <f>'RAWDATA SORTED BY_EYEglasses'!E51</f>
        <v>28.9</v>
      </c>
      <c r="L7">
        <f>'RAWDATA SORTED BY_EYEglasses'!F51</f>
        <v>23.7</v>
      </c>
      <c r="M7">
        <f>'RAWDATA SORTED BY_EYEglasses'!G51</f>
        <v>23.9</v>
      </c>
      <c r="N7">
        <f>'RAWDATA SORTED BY_EYEglasses'!H51</f>
        <v>23</v>
      </c>
      <c r="O7">
        <f>'RAWDATA SORTED BY_EYEglasses'!I51</f>
        <v>22.2</v>
      </c>
    </row>
    <row r="8" spans="2:15" x14ac:dyDescent="0.25">
      <c r="B8">
        <f>'RAWDATA SORTED BY_EYEglasses'!E8</f>
        <v>30</v>
      </c>
      <c r="C8">
        <f>'RAWDATA SORTED BY_EYEglasses'!F8</f>
        <v>26.7</v>
      </c>
      <c r="D8">
        <f>'RAWDATA SORTED BY_EYEglasses'!G8</f>
        <v>24.5</v>
      </c>
      <c r="E8">
        <f>'RAWDATA SORTED BY_EYEglasses'!H8</f>
        <v>23.8</v>
      </c>
      <c r="F8">
        <f>'RAWDATA SORTED BY_EYEglasses'!I8</f>
        <v>22.1</v>
      </c>
      <c r="K8">
        <f>'RAWDATA SORTED BY_EYEglasses'!E52</f>
        <v>29.3</v>
      </c>
      <c r="L8">
        <f>'RAWDATA SORTED BY_EYEglasses'!F52</f>
        <v>25.8</v>
      </c>
      <c r="M8">
        <f>'RAWDATA SORTED BY_EYEglasses'!G52</f>
        <v>24.5</v>
      </c>
      <c r="N8">
        <f>'RAWDATA SORTED BY_EYEglasses'!H52</f>
        <v>23.4</v>
      </c>
      <c r="O8">
        <f>'RAWDATA SORTED BY_EYEglasses'!I52</f>
        <v>22.2</v>
      </c>
    </row>
    <row r="9" spans="2:15" x14ac:dyDescent="0.25">
      <c r="B9">
        <f>'RAWDATA SORTED BY_EYEglasses'!E9</f>
        <v>30</v>
      </c>
      <c r="C9">
        <f>'RAWDATA SORTED BY_EYEglasses'!F9</f>
        <v>26.32</v>
      </c>
      <c r="D9">
        <f>'RAWDATA SORTED BY_EYEglasses'!G9</f>
        <v>23.9</v>
      </c>
      <c r="E9">
        <f>'RAWDATA SORTED BY_EYEglasses'!H9</f>
        <v>22.7</v>
      </c>
      <c r="F9">
        <f>'RAWDATA SORTED BY_EYEglasses'!I9</f>
        <v>21.9</v>
      </c>
      <c r="K9">
        <f>'RAWDATA SORTED BY_EYEglasses'!E53</f>
        <v>31.2</v>
      </c>
      <c r="L9">
        <f>'RAWDATA SORTED BY_EYEglasses'!F53</f>
        <v>27.5</v>
      </c>
      <c r="M9">
        <f>'RAWDATA SORTED BY_EYEglasses'!G53</f>
        <v>26.2</v>
      </c>
      <c r="N9">
        <f>'RAWDATA SORTED BY_EYEglasses'!H53</f>
        <v>24</v>
      </c>
      <c r="O9">
        <f>'RAWDATA SORTED BY_EYEglasses'!I53</f>
        <v>20.6</v>
      </c>
    </row>
    <row r="10" spans="2:15" x14ac:dyDescent="0.25">
      <c r="B10">
        <f>'RAWDATA SORTED BY_EYEglasses'!E10</f>
        <v>29.5</v>
      </c>
      <c r="C10">
        <f>'RAWDATA SORTED BY_EYEglasses'!F10</f>
        <v>24.5</v>
      </c>
      <c r="D10">
        <f>'RAWDATA SORTED BY_EYEglasses'!G10</f>
        <v>24.4</v>
      </c>
      <c r="E10">
        <f>'RAWDATA SORTED BY_EYEglasses'!H10</f>
        <v>23.5</v>
      </c>
      <c r="F10">
        <f>'RAWDATA SORTED BY_EYEglasses'!I10</f>
        <v>22.7</v>
      </c>
      <c r="K10">
        <f>'RAWDATA SORTED BY_EYEglasses'!E54</f>
        <v>30.5</v>
      </c>
      <c r="L10">
        <f>'RAWDATA SORTED BY_EYEglasses'!F54</f>
        <v>26.7</v>
      </c>
      <c r="M10">
        <f>'RAWDATA SORTED BY_EYEglasses'!G54</f>
        <v>24</v>
      </c>
      <c r="N10">
        <f>'RAWDATA SORTED BY_EYEglasses'!H54</f>
        <v>21</v>
      </c>
      <c r="O10">
        <f>'RAWDATA SORTED BY_EYEglasses'!I54</f>
        <v>20.5</v>
      </c>
    </row>
    <row r="11" spans="2:15" x14ac:dyDescent="0.25">
      <c r="B11">
        <f>'RAWDATA SORTED BY_EYEglasses'!E11</f>
        <v>30.2</v>
      </c>
      <c r="C11">
        <f>'RAWDATA SORTED BY_EYEglasses'!F11</f>
        <v>26.5</v>
      </c>
      <c r="D11">
        <f>'RAWDATA SORTED BY_EYEglasses'!G11</f>
        <v>24.8</v>
      </c>
      <c r="E11">
        <f>'RAWDATA SORTED BY_EYEglasses'!H11</f>
        <v>23.6</v>
      </c>
      <c r="F11">
        <f>'RAWDATA SORTED BY_EYEglasses'!I11</f>
        <v>22.8</v>
      </c>
      <c r="K11">
        <f>'RAWDATA SORTED BY_EYEglasses'!E55</f>
        <v>29.8</v>
      </c>
      <c r="L11">
        <f>'RAWDATA SORTED BY_EYEglasses'!F55</f>
        <v>25.3</v>
      </c>
      <c r="M11">
        <f>'RAWDATA SORTED BY_EYEglasses'!G55</f>
        <v>24.4</v>
      </c>
      <c r="N11">
        <f>'RAWDATA SORTED BY_EYEglasses'!H55</f>
        <v>23.8</v>
      </c>
      <c r="O11">
        <f>'RAWDATA SORTED BY_EYEglasses'!I55</f>
        <v>23</v>
      </c>
    </row>
    <row r="12" spans="2:15" x14ac:dyDescent="0.25">
      <c r="B12">
        <f>'RAWDATA SORTED BY_EYEglasses'!E12</f>
        <v>31.6</v>
      </c>
      <c r="C12">
        <f>'RAWDATA SORTED BY_EYEglasses'!F12</f>
        <v>28</v>
      </c>
      <c r="D12">
        <f>'RAWDATA SORTED BY_EYEglasses'!G12</f>
        <v>26.5</v>
      </c>
      <c r="E12">
        <f>'RAWDATA SORTED BY_EYEglasses'!H12</f>
        <v>24.5</v>
      </c>
      <c r="F12">
        <f>'RAWDATA SORTED BY_EYEglasses'!I12</f>
        <v>20.5</v>
      </c>
      <c r="K12">
        <f>'RAWDATA SORTED BY_EYEglasses'!E56</f>
        <v>30.2</v>
      </c>
      <c r="L12">
        <f>'RAWDATA SORTED BY_EYEglasses'!F56</f>
        <v>28</v>
      </c>
      <c r="M12">
        <f>'RAWDATA SORTED BY_EYEglasses'!G56</f>
        <v>25.8</v>
      </c>
      <c r="N12">
        <f>'RAWDATA SORTED BY_EYEglasses'!H56</f>
        <v>24.5</v>
      </c>
      <c r="O12">
        <f>'RAWDATA SORTED BY_EYEglasses'!I56</f>
        <v>22.5</v>
      </c>
    </row>
    <row r="13" spans="2:15" x14ac:dyDescent="0.25">
      <c r="B13">
        <f>'RAWDATA SORTED BY_EYEglasses'!E13</f>
        <v>30.8</v>
      </c>
      <c r="C13">
        <f>'RAWDATA SORTED BY_EYEglasses'!F13</f>
        <v>27.3</v>
      </c>
      <c r="D13">
        <f>'RAWDATA SORTED BY_EYEglasses'!G13</f>
        <v>24.5</v>
      </c>
      <c r="E13">
        <f>'RAWDATA SORTED BY_EYEglasses'!H13</f>
        <v>21.2</v>
      </c>
      <c r="F13">
        <f>'RAWDATA SORTED BY_EYEglasses'!I13</f>
        <v>21</v>
      </c>
      <c r="K13">
        <f>'RAWDATA SORTED BY_EYEglasses'!E57</f>
        <v>30.5</v>
      </c>
      <c r="L13">
        <f>'RAWDATA SORTED BY_EYEglasses'!F57</f>
        <v>28</v>
      </c>
      <c r="M13">
        <f>'RAWDATA SORTED BY_EYEglasses'!G57</f>
        <v>26.5</v>
      </c>
      <c r="N13">
        <f>'RAWDATA SORTED BY_EYEglasses'!H57</f>
        <v>24.8</v>
      </c>
      <c r="O13">
        <f>'RAWDATA SORTED BY_EYEglasses'!I57</f>
        <v>22</v>
      </c>
    </row>
    <row r="14" spans="2:15" x14ac:dyDescent="0.25">
      <c r="B14">
        <f>'RAWDATA SORTED BY_EYEglasses'!E14</f>
        <v>31.1</v>
      </c>
      <c r="C14">
        <f>'RAWDATA SORTED BY_EYEglasses'!F14</f>
        <v>27.5</v>
      </c>
      <c r="D14">
        <f>'RAWDATA SORTED BY_EYEglasses'!G14</f>
        <v>25.1</v>
      </c>
      <c r="E14">
        <f>'RAWDATA SORTED BY_EYEglasses'!H14</f>
        <v>24.2</v>
      </c>
      <c r="F14">
        <f>'RAWDATA SORTED BY_EYEglasses'!I14</f>
        <v>23.6</v>
      </c>
      <c r="K14">
        <f>'RAWDATA SORTED BY_EYEglasses'!E58</f>
        <v>31.5</v>
      </c>
      <c r="L14">
        <f>'RAWDATA SORTED BY_EYEglasses'!F58</f>
        <v>29</v>
      </c>
      <c r="M14">
        <f>'RAWDATA SORTED BY_EYEglasses'!G58</f>
        <v>27.2</v>
      </c>
      <c r="N14">
        <f>'RAWDATA SORTED BY_EYEglasses'!H58</f>
        <v>25.8</v>
      </c>
      <c r="O14">
        <f>'RAWDATA SORTED BY_EYEglasses'!I58</f>
        <v>23</v>
      </c>
    </row>
    <row r="15" spans="2:15" x14ac:dyDescent="0.25">
      <c r="B15">
        <f>'RAWDATA SORTED BY_EYEglasses'!E15</f>
        <v>29.9</v>
      </c>
      <c r="C15">
        <f>'RAWDATA SORTED BY_EYEglasses'!F15</f>
        <v>26.5</v>
      </c>
      <c r="D15">
        <f>'RAWDATA SORTED BY_EYEglasses'!G15</f>
        <v>24.5</v>
      </c>
      <c r="E15">
        <f>'RAWDATA SORTED BY_EYEglasses'!H15</f>
        <v>23.5</v>
      </c>
      <c r="F15">
        <f>'RAWDATA SORTED BY_EYEglasses'!I15</f>
        <v>22.4</v>
      </c>
      <c r="K15">
        <f>'RAWDATA SORTED BY_EYEglasses'!E59</f>
        <v>30.1</v>
      </c>
      <c r="L15">
        <f>'RAWDATA SORTED BY_EYEglasses'!F59</f>
        <v>27</v>
      </c>
      <c r="M15">
        <f>'RAWDATA SORTED BY_EYEglasses'!G59</f>
        <v>26.4</v>
      </c>
      <c r="N15">
        <f>'RAWDATA SORTED BY_EYEglasses'!H59</f>
        <v>25.1</v>
      </c>
      <c r="O15">
        <f>'RAWDATA SORTED BY_EYEglasses'!I59</f>
        <v>23.5</v>
      </c>
    </row>
    <row r="16" spans="2:15" x14ac:dyDescent="0.25">
      <c r="B16">
        <f>'RAWDATA SORTED BY_EYEglasses'!E16</f>
        <v>30.7</v>
      </c>
      <c r="C16">
        <f>'RAWDATA SORTED BY_EYEglasses'!F16</f>
        <v>25.4</v>
      </c>
      <c r="D16">
        <f>'RAWDATA SORTED BY_EYEglasses'!G16</f>
        <v>24.9</v>
      </c>
      <c r="E16">
        <f>'RAWDATA SORTED BY_EYEglasses'!H16</f>
        <v>23.8</v>
      </c>
      <c r="F16">
        <f>'RAWDATA SORTED BY_EYEglasses'!I16</f>
        <v>23.2</v>
      </c>
      <c r="K16">
        <f>'RAWDATA SORTED BY_EYEglasses'!E60</f>
        <v>30.08</v>
      </c>
      <c r="L16">
        <f>'RAWDATA SORTED BY_EYEglasses'!F60</f>
        <v>28.5</v>
      </c>
      <c r="M16">
        <f>'RAWDATA SORTED BY_EYEglasses'!G60</f>
        <v>27.2</v>
      </c>
      <c r="N16">
        <f>'RAWDATA SORTED BY_EYEglasses'!H60</f>
        <v>26.6</v>
      </c>
      <c r="O16">
        <f>'RAWDATA SORTED BY_EYEglasses'!I60</f>
        <v>24.2</v>
      </c>
    </row>
    <row r="17" spans="2:15" x14ac:dyDescent="0.25">
      <c r="B17">
        <f>'RAWDATA SORTED BY_EYEglasses'!E17</f>
        <v>29.9</v>
      </c>
      <c r="C17">
        <f>'RAWDATA SORTED BY_EYEglasses'!F17</f>
        <v>26.3</v>
      </c>
      <c r="D17">
        <f>'RAWDATA SORTED BY_EYEglasses'!G17</f>
        <v>24.2</v>
      </c>
      <c r="E17">
        <f>'RAWDATA SORTED BY_EYEglasses'!H17</f>
        <v>23.1</v>
      </c>
      <c r="F17">
        <f>'RAWDATA SORTED BY_EYEglasses'!I17</f>
        <v>22.4</v>
      </c>
      <c r="K17">
        <f>'RAWDATA SORTED BY_EYEglasses'!E61</f>
        <v>31.2</v>
      </c>
      <c r="L17">
        <f>'RAWDATA SORTED BY_EYEglasses'!F61</f>
        <v>29.2</v>
      </c>
      <c r="M17">
        <f>'RAWDATA SORTED BY_EYEglasses'!G61</f>
        <v>28.5</v>
      </c>
      <c r="N17">
        <f>'RAWDATA SORTED BY_EYEglasses'!H61</f>
        <v>27.2</v>
      </c>
      <c r="O17">
        <f>'RAWDATA SORTED BY_EYEglasses'!I61</f>
        <v>25.6</v>
      </c>
    </row>
    <row r="18" spans="2:15" x14ac:dyDescent="0.25">
      <c r="B18">
        <f>'RAWDATA SORTED BY_EYEglasses'!E18</f>
        <v>30.5</v>
      </c>
      <c r="C18">
        <f>'RAWDATA SORTED BY_EYEglasses'!F18</f>
        <v>27.6</v>
      </c>
      <c r="D18">
        <f>'RAWDATA SORTED BY_EYEglasses'!G18</f>
        <v>25.8</v>
      </c>
      <c r="E18">
        <f>'RAWDATA SORTED BY_EYEglasses'!H18</f>
        <v>24.5</v>
      </c>
      <c r="F18">
        <f>'RAWDATA SORTED BY_EYEglasses'!I18</f>
        <v>23.5</v>
      </c>
      <c r="K18">
        <f>'RAWDATA SORTED BY_EYEglasses'!E62</f>
        <v>31.8</v>
      </c>
      <c r="L18">
        <f>'RAWDATA SORTED BY_EYEglasses'!F62</f>
        <v>30.2</v>
      </c>
      <c r="M18">
        <f>'RAWDATA SORTED BY_EYEglasses'!G62</f>
        <v>27.8</v>
      </c>
      <c r="N18">
        <f>'RAWDATA SORTED BY_EYEglasses'!H62</f>
        <v>27.2</v>
      </c>
      <c r="O18">
        <f>'RAWDATA SORTED BY_EYEglasses'!I62</f>
        <v>25.5</v>
      </c>
    </row>
    <row r="19" spans="2:15" x14ac:dyDescent="0.25">
      <c r="B19">
        <f>'RAWDATA SORTED BY_EYEglasses'!E19</f>
        <v>30.6</v>
      </c>
      <c r="C19">
        <f>'RAWDATA SORTED BY_EYEglasses'!F19</f>
        <v>26.4</v>
      </c>
      <c r="D19">
        <f>'RAWDATA SORTED BY_EYEglasses'!G19</f>
        <v>25.5</v>
      </c>
      <c r="E19">
        <f>'RAWDATA SORTED BY_EYEglasses'!H19</f>
        <v>24.6</v>
      </c>
      <c r="F19">
        <f>'RAWDATA SORTED BY_EYEglasses'!I19</f>
        <v>23</v>
      </c>
      <c r="K19">
        <f>'RAWDATA SORTED BY_EYEglasses'!E63</f>
        <v>32.5</v>
      </c>
      <c r="L19">
        <f>'RAWDATA SORTED BY_EYEglasses'!F63</f>
        <v>31.8</v>
      </c>
      <c r="M19">
        <f>'RAWDATA SORTED BY_EYEglasses'!G63</f>
        <v>28</v>
      </c>
      <c r="N19">
        <f>'RAWDATA SORTED BY_EYEglasses'!H63</f>
        <v>26.5</v>
      </c>
      <c r="O19">
        <f>'RAWDATA SORTED BY_EYEglasses'!I63</f>
        <v>26</v>
      </c>
    </row>
    <row r="20" spans="2:15" x14ac:dyDescent="0.25">
      <c r="B20">
        <f>'RAWDATA SORTED BY_EYEglasses'!E20</f>
        <v>30.8</v>
      </c>
      <c r="C20">
        <f>'RAWDATA SORTED BY_EYEglasses'!F20</f>
        <v>28.5</v>
      </c>
      <c r="D20">
        <f>'RAWDATA SORTED BY_EYEglasses'!G20</f>
        <v>26</v>
      </c>
      <c r="E20">
        <f>'RAWDATA SORTED BY_EYEglasses'!H20</f>
        <v>25</v>
      </c>
      <c r="F20">
        <f>'RAWDATA SORTED BY_EYEglasses'!I20</f>
        <v>22.8</v>
      </c>
      <c r="K20">
        <f>'RAWDATA SORTED BY_EYEglasses'!E64</f>
        <v>32.200000000000003</v>
      </c>
      <c r="L20">
        <f>'RAWDATA SORTED BY_EYEglasses'!F64</f>
        <v>30.5</v>
      </c>
      <c r="M20">
        <f>'RAWDATA SORTED BY_EYEglasses'!G64</f>
        <v>29.3</v>
      </c>
      <c r="N20">
        <f>'RAWDATA SORTED BY_EYEglasses'!H64</f>
        <v>28.5</v>
      </c>
      <c r="O20">
        <f>'RAWDATA SORTED BY_EYEglasses'!I64</f>
        <v>27.1</v>
      </c>
    </row>
    <row r="21" spans="2:15" x14ac:dyDescent="0.25">
      <c r="B21">
        <f>'RAWDATA SORTED BY_EYEglasses'!E21</f>
        <v>31</v>
      </c>
      <c r="C21">
        <f>'RAWDATA SORTED BY_EYEglasses'!F21</f>
        <v>28.4</v>
      </c>
      <c r="D21">
        <f>'RAWDATA SORTED BY_EYEglasses'!G21</f>
        <v>26.8</v>
      </c>
      <c r="E21">
        <f>'RAWDATA SORTED BY_EYEglasses'!H21</f>
        <v>25</v>
      </c>
      <c r="F21">
        <f>'RAWDATA SORTED BY_EYEglasses'!I21</f>
        <v>22.5</v>
      </c>
      <c r="K21">
        <f>'RAWDATA SORTED BY_EYEglasses'!E65</f>
        <v>32.700000000000003</v>
      </c>
      <c r="L21">
        <f>'RAWDATA SORTED BY_EYEglasses'!F65</f>
        <v>31.5</v>
      </c>
      <c r="M21">
        <f>'RAWDATA SORTED BY_EYEglasses'!G65</f>
        <v>30.2</v>
      </c>
      <c r="N21">
        <f>'RAWDATA SORTED BY_EYEglasses'!H65</f>
        <v>28.5</v>
      </c>
      <c r="O21">
        <f>'RAWDATA SORTED BY_EYEglasses'!I65</f>
        <v>27.8</v>
      </c>
    </row>
    <row r="22" spans="2:15" x14ac:dyDescent="0.25">
      <c r="B22">
        <f>'RAWDATA SORTED BY_EYEglasses'!E22</f>
        <v>31.7</v>
      </c>
      <c r="C22">
        <f>'RAWDATA SORTED BY_EYEglasses'!F22</f>
        <v>29.2</v>
      </c>
      <c r="D22">
        <f>'RAWDATA SORTED BY_EYEglasses'!G22</f>
        <v>27.5</v>
      </c>
      <c r="E22">
        <f>'RAWDATA SORTED BY_EYEglasses'!H22</f>
        <v>26</v>
      </c>
      <c r="F22">
        <f>'RAWDATA SORTED BY_EYEglasses'!I22</f>
        <v>23.3</v>
      </c>
      <c r="K22">
        <f>'RAWDATA SORTED BY_EYEglasses'!E66</f>
        <v>31.3</v>
      </c>
      <c r="L22">
        <f>'RAWDATA SORTED BY_EYEglasses'!F66</f>
        <v>30.1</v>
      </c>
      <c r="M22">
        <f>'RAWDATA SORTED BY_EYEglasses'!G66</f>
        <v>29.5</v>
      </c>
      <c r="N22">
        <f>'RAWDATA SORTED BY_EYEglasses'!H66</f>
        <v>27.5</v>
      </c>
      <c r="O22">
        <f>'RAWDATA SORTED BY_EYEglasses'!I66</f>
        <v>26.9</v>
      </c>
    </row>
    <row r="23" spans="2:15" x14ac:dyDescent="0.25">
      <c r="B23">
        <f>'RAWDATA SORTED BY_EYEglasses'!E23</f>
        <v>30.9</v>
      </c>
      <c r="C23">
        <f>'RAWDATA SORTED BY_EYEglasses'!F23</f>
        <v>27.2</v>
      </c>
      <c r="D23">
        <f>'RAWDATA SORTED BY_EYEglasses'!G23</f>
        <v>26.8</v>
      </c>
      <c r="E23">
        <f>'RAWDATA SORTED BY_EYEglasses'!H23</f>
        <v>25.5</v>
      </c>
      <c r="F23">
        <f>'RAWDATA SORTED BY_EYEglasses'!I23</f>
        <v>24</v>
      </c>
      <c r="K23">
        <f>'RAWDATA SORTED BY_EYEglasses'!E67</f>
        <v>32.1</v>
      </c>
      <c r="L23">
        <f>'RAWDATA SORTED BY_EYEglasses'!F67</f>
        <v>29.4</v>
      </c>
      <c r="M23">
        <f>'RAWDATA SORTED BY_EYEglasses'!G67</f>
        <v>28.5</v>
      </c>
      <c r="N23">
        <f>'RAWDATA SORTED BY_EYEglasses'!H67</f>
        <v>27.8</v>
      </c>
      <c r="O23">
        <f>'RAWDATA SORTED BY_EYEglasses'!I67</f>
        <v>27</v>
      </c>
    </row>
    <row r="24" spans="2:15" x14ac:dyDescent="0.25">
      <c r="B24">
        <f>'RAWDATA SORTED BY_EYEglasses'!E24</f>
        <v>31.7</v>
      </c>
      <c r="C24">
        <f>'RAWDATA SORTED BY_EYEglasses'!F24</f>
        <v>28.7</v>
      </c>
      <c r="D24">
        <f>'RAWDATA SORTED BY_EYEglasses'!G24</f>
        <v>26.5</v>
      </c>
      <c r="E24">
        <f>'RAWDATA SORTED BY_EYEglasses'!H24</f>
        <v>25.6</v>
      </c>
      <c r="F24">
        <f>'RAWDATA SORTED BY_EYEglasses'!I24</f>
        <v>24</v>
      </c>
      <c r="K24">
        <f>'RAWDATA SORTED BY_EYEglasses'!E68</f>
        <v>31.5</v>
      </c>
      <c r="L24">
        <f>'RAWDATA SORTED BY_EYEglasses'!F68</f>
        <v>30.1</v>
      </c>
      <c r="M24">
        <f>'RAWDATA SORTED BY_EYEglasses'!G68</f>
        <v>30.1</v>
      </c>
      <c r="N24">
        <f>'RAWDATA SORTED BY_EYEglasses'!H68</f>
        <v>28.9</v>
      </c>
      <c r="O24">
        <f>'RAWDATA SORTED BY_EYEglasses'!I68</f>
        <v>28.2</v>
      </c>
    </row>
    <row r="25" spans="2:15" x14ac:dyDescent="0.25">
      <c r="B25">
        <f>'RAWDATA SORTED BY_EYEglasses'!E25</f>
        <v>30.5</v>
      </c>
      <c r="C25">
        <f>'RAWDATA SORTED BY_EYEglasses'!F25</f>
        <v>26.7</v>
      </c>
      <c r="D25">
        <f>'RAWDATA SORTED BY_EYEglasses'!G25</f>
        <v>26</v>
      </c>
      <c r="E25">
        <f>'RAWDATA SORTED BY_EYEglasses'!H25</f>
        <v>25.5</v>
      </c>
      <c r="F25">
        <f>'RAWDATA SORTED BY_EYEglasses'!I25</f>
        <v>24</v>
      </c>
      <c r="K25">
        <f>'RAWDATA SORTED BY_EYEglasses'!E69</f>
        <v>31.8</v>
      </c>
      <c r="L25">
        <f>'RAWDATA SORTED BY_EYEglasses'!F69</f>
        <v>30.5</v>
      </c>
      <c r="M25">
        <f>'RAWDATA SORTED BY_EYEglasses'!G69</f>
        <v>29.5</v>
      </c>
      <c r="N25">
        <f>'RAWDATA SORTED BY_EYEglasses'!H69</f>
        <v>28.8</v>
      </c>
      <c r="O25">
        <f>'RAWDATA SORTED BY_EYEglasses'!I69</f>
        <v>27.8</v>
      </c>
    </row>
    <row r="26" spans="2:15" x14ac:dyDescent="0.25">
      <c r="B26">
        <f>'RAWDATA SORTED BY_EYEglasses'!E26</f>
        <v>31.4</v>
      </c>
      <c r="C26">
        <f>'RAWDATA SORTED BY_EYEglasses'!F26</f>
        <v>28.2</v>
      </c>
      <c r="D26">
        <f>'RAWDATA SORTED BY_EYEglasses'!G26</f>
        <v>26.5</v>
      </c>
      <c r="E26">
        <f>'RAWDATA SORTED BY_EYEglasses'!H26</f>
        <v>26</v>
      </c>
      <c r="F26">
        <f>'RAWDATA SORTED BY_EYEglasses'!I26</f>
        <v>23.3</v>
      </c>
      <c r="K26">
        <f>'RAWDATA SORTED BY_EYEglasses'!E70</f>
        <v>31.7</v>
      </c>
      <c r="L26">
        <f>'RAWDATA SORTED BY_EYEglasses'!F70</f>
        <v>29.6</v>
      </c>
      <c r="M26">
        <f>'RAWDATA SORTED BY_EYEglasses'!G70</f>
        <v>28.3</v>
      </c>
      <c r="N26">
        <f>'RAWDATA SORTED BY_EYEglasses'!H70</f>
        <v>27.8</v>
      </c>
      <c r="O26">
        <f>'RAWDATA SORTED BY_EYEglasses'!I70</f>
        <v>27.6</v>
      </c>
    </row>
    <row r="27" spans="2:15" x14ac:dyDescent="0.25">
      <c r="B27">
        <f>'RAWDATA SORTED BY_EYEglasses'!E27</f>
        <v>30.7</v>
      </c>
      <c r="C27">
        <f>'RAWDATA SORTED BY_EYEglasses'!F27</f>
        <v>28.1</v>
      </c>
      <c r="D27">
        <f>'RAWDATA SORTED BY_EYEglasses'!G27</f>
        <v>27</v>
      </c>
      <c r="E27">
        <f>'RAWDATA SORTED BY_EYEglasses'!H27</f>
        <v>26.2</v>
      </c>
      <c r="F27">
        <f>'RAWDATA SORTED BY_EYEglasses'!I27</f>
        <v>24</v>
      </c>
      <c r="J27" t="s">
        <v>16</v>
      </c>
      <c r="K27">
        <f>AVERAGE(K3:K26)</f>
        <v>30.87</v>
      </c>
      <c r="L27">
        <f>AVERAGE(L3:L26)</f>
        <v>28.389583333333338</v>
      </c>
      <c r="M27">
        <f>AVERAGE(M3:M26)</f>
        <v>26.816666666666666</v>
      </c>
      <c r="N27">
        <f>AVERAGE(N3:N26)</f>
        <v>25.549999999999997</v>
      </c>
      <c r="O27">
        <f>AVERAGE(O3:O26)</f>
        <v>24.195833333333336</v>
      </c>
    </row>
    <row r="28" spans="2:15" x14ac:dyDescent="0.25">
      <c r="B28">
        <f>'RAWDATA SORTED BY_EYEglasses'!E28</f>
        <v>30.99</v>
      </c>
      <c r="C28">
        <f>'RAWDATA SORTED BY_EYEglasses'!F28</f>
        <v>29</v>
      </c>
      <c r="D28">
        <f>'RAWDATA SORTED BY_EYEglasses'!G28</f>
        <v>27.4</v>
      </c>
      <c r="E28">
        <f>'RAWDATA SORTED BY_EYEglasses'!H28</f>
        <v>26.8</v>
      </c>
      <c r="F28">
        <f>'RAWDATA SORTED BY_EYEglasses'!I28</f>
        <v>24.6</v>
      </c>
    </row>
    <row r="29" spans="2:15" x14ac:dyDescent="0.25">
      <c r="B29">
        <f>'RAWDATA SORTED BY_EYEglasses'!E29</f>
        <v>31.5</v>
      </c>
      <c r="C29">
        <f>'RAWDATA SORTED BY_EYEglasses'!F29</f>
        <v>29.4</v>
      </c>
      <c r="D29">
        <f>'RAWDATA SORTED BY_EYEglasses'!G29</f>
        <v>28.8</v>
      </c>
      <c r="E29">
        <f>'RAWDATA SORTED BY_EYEglasses'!H29</f>
        <v>27.5</v>
      </c>
      <c r="F29">
        <f>'RAWDATA SORTED BY_EYEglasses'!I29</f>
        <v>26</v>
      </c>
    </row>
    <row r="30" spans="2:15" x14ac:dyDescent="0.25">
      <c r="B30">
        <f>'RAWDATA SORTED BY_EYEglasses'!E30</f>
        <v>32</v>
      </c>
      <c r="C30">
        <f>'RAWDATA SORTED BY_EYEglasses'!F30</f>
        <v>30.5</v>
      </c>
      <c r="D30">
        <f>'RAWDATA SORTED BY_EYEglasses'!G30</f>
        <v>27.9</v>
      </c>
      <c r="E30">
        <f>'RAWDATA SORTED BY_EYEglasses'!H30</f>
        <v>27.6</v>
      </c>
      <c r="F30">
        <f>'RAWDATA SORTED BY_EYEglasses'!I30</f>
        <v>26</v>
      </c>
    </row>
    <row r="31" spans="2:15" x14ac:dyDescent="0.25">
      <c r="B31">
        <f>'RAWDATA SORTED BY_EYEglasses'!E31</f>
        <v>34.4</v>
      </c>
      <c r="C31">
        <f>'RAWDATA SORTED BY_EYEglasses'!F31</f>
        <v>32</v>
      </c>
      <c r="D31">
        <f>'RAWDATA SORTED BY_EYEglasses'!G31</f>
        <v>28.7</v>
      </c>
      <c r="E31">
        <f>'RAWDATA SORTED BY_EYEglasses'!H31</f>
        <v>27.4</v>
      </c>
      <c r="F31">
        <f>'RAWDATA SORTED BY_EYEglasses'!I31</f>
        <v>27</v>
      </c>
    </row>
    <row r="32" spans="2:15" x14ac:dyDescent="0.25">
      <c r="B32">
        <f>'RAWDATA SORTED BY_EYEglasses'!E32</f>
        <v>32.799999999999997</v>
      </c>
      <c r="C32">
        <f>'RAWDATA SORTED BY_EYEglasses'!F32</f>
        <v>32</v>
      </c>
      <c r="D32">
        <f>'RAWDATA SORTED BY_EYEglasses'!G32</f>
        <v>28.2</v>
      </c>
      <c r="E32">
        <f>'RAWDATA SORTED BY_EYEglasses'!H32</f>
        <v>26.8</v>
      </c>
      <c r="F32">
        <f>'RAWDATA SORTED BY_EYEglasses'!I32</f>
        <v>26.2</v>
      </c>
      <c r="K32" s="4" t="s">
        <v>43</v>
      </c>
      <c r="L32" s="4"/>
      <c r="M32" s="4"/>
    </row>
    <row r="33" spans="1:13" x14ac:dyDescent="0.25">
      <c r="B33">
        <f>'RAWDATA SORTED BY_EYEglasses'!E33</f>
        <v>32.799999999999997</v>
      </c>
      <c r="C33">
        <f>'RAWDATA SORTED BY_EYEglasses'!F33</f>
        <v>30.7</v>
      </c>
      <c r="D33">
        <f>'RAWDATA SORTED BY_EYEglasses'!G33</f>
        <v>29.5</v>
      </c>
      <c r="E33">
        <f>'RAWDATA SORTED BY_EYEglasses'!H33</f>
        <v>28.8</v>
      </c>
      <c r="F33">
        <f>'RAWDATA SORTED BY_EYEglasses'!I33</f>
        <v>27.4</v>
      </c>
      <c r="K33" s="4" t="s">
        <v>18</v>
      </c>
      <c r="L33" s="4" t="s">
        <v>52</v>
      </c>
      <c r="M33" s="4" t="s">
        <v>53</v>
      </c>
    </row>
    <row r="34" spans="1:13" x14ac:dyDescent="0.25">
      <c r="B34">
        <f>'RAWDATA SORTED BY_EYEglasses'!E34</f>
        <v>32.799999999999997</v>
      </c>
      <c r="C34">
        <f>'RAWDATA SORTED BY_EYEglasses'!F34</f>
        <v>31.8</v>
      </c>
      <c r="D34">
        <f>'RAWDATA SORTED BY_EYEglasses'!G34</f>
        <v>30.5</v>
      </c>
      <c r="E34">
        <f>'RAWDATA SORTED BY_EYEglasses'!H34</f>
        <v>28.8</v>
      </c>
      <c r="F34">
        <f>'RAWDATA SORTED BY_EYEglasses'!I34</f>
        <v>28</v>
      </c>
      <c r="K34">
        <v>1</v>
      </c>
      <c r="L34">
        <f>K27</f>
        <v>30.87</v>
      </c>
      <c r="M34">
        <f>B47</f>
        <v>31.402045454545451</v>
      </c>
    </row>
    <row r="35" spans="1:13" x14ac:dyDescent="0.25">
      <c r="B35">
        <f>'RAWDATA SORTED BY_EYEglasses'!E35</f>
        <v>32.5</v>
      </c>
      <c r="C35">
        <f>'RAWDATA SORTED BY_EYEglasses'!F35</f>
        <v>31</v>
      </c>
      <c r="D35">
        <f>'RAWDATA SORTED BY_EYEglasses'!G35</f>
        <v>30.2</v>
      </c>
      <c r="E35">
        <f>'RAWDATA SORTED BY_EYEglasses'!H35</f>
        <v>27.8</v>
      </c>
      <c r="F35">
        <f>'RAWDATA SORTED BY_EYEglasses'!I35</f>
        <v>27</v>
      </c>
      <c r="K35">
        <v>2</v>
      </c>
      <c r="L35">
        <f>L27</f>
        <v>28.389583333333338</v>
      </c>
      <c r="M35">
        <f>C47</f>
        <v>28.698181818181819</v>
      </c>
    </row>
    <row r="36" spans="1:13" x14ac:dyDescent="0.25">
      <c r="B36">
        <f>'RAWDATA SORTED BY_EYEglasses'!E36</f>
        <v>32.200000000000003</v>
      </c>
      <c r="C36">
        <f>'RAWDATA SORTED BY_EYEglasses'!F36</f>
        <v>30.4</v>
      </c>
      <c r="D36">
        <f>'RAWDATA SORTED BY_EYEglasses'!G36</f>
        <v>29.8</v>
      </c>
      <c r="E36">
        <f>'RAWDATA SORTED BY_EYEglasses'!H36</f>
        <v>27.6</v>
      </c>
      <c r="F36">
        <f>'RAWDATA SORTED BY_EYEglasses'!I36</f>
        <v>27</v>
      </c>
      <c r="K36">
        <v>3</v>
      </c>
      <c r="L36">
        <f>M27</f>
        <v>26.816666666666666</v>
      </c>
      <c r="M36">
        <f>D47</f>
        <v>27.01136363636363</v>
      </c>
    </row>
    <row r="37" spans="1:13" x14ac:dyDescent="0.25">
      <c r="B37">
        <f>'RAWDATA SORTED BY_EYEglasses'!E37</f>
        <v>32.5</v>
      </c>
      <c r="C37">
        <f>'RAWDATA SORTED BY_EYEglasses'!F37</f>
        <v>30.2</v>
      </c>
      <c r="D37">
        <f>'RAWDATA SORTED BY_EYEglasses'!G37</f>
        <v>28.9</v>
      </c>
      <c r="E37">
        <f>'RAWDATA SORTED BY_EYEglasses'!H37</f>
        <v>27.5</v>
      </c>
      <c r="F37">
        <f>'RAWDATA SORTED BY_EYEglasses'!I37</f>
        <v>26.9</v>
      </c>
      <c r="K37">
        <v>4</v>
      </c>
      <c r="L37">
        <f>N27</f>
        <v>25.549999999999997</v>
      </c>
      <c r="M37">
        <f>E47</f>
        <v>25.830909090909088</v>
      </c>
    </row>
    <row r="38" spans="1:13" x14ac:dyDescent="0.25">
      <c r="B38">
        <f>'RAWDATA SORTED BY_EYEglasses'!E38</f>
        <v>32.1</v>
      </c>
      <c r="C38">
        <f>'RAWDATA SORTED BY_EYEglasses'!F38</f>
        <v>29.8</v>
      </c>
      <c r="D38">
        <f>'RAWDATA SORTED BY_EYEglasses'!G38</f>
        <v>28.4</v>
      </c>
      <c r="E38">
        <f>'RAWDATA SORTED BY_EYEglasses'!H38</f>
        <v>27.5</v>
      </c>
      <c r="F38">
        <f>'RAWDATA SORTED BY_EYEglasses'!I38</f>
        <v>26</v>
      </c>
      <c r="K38">
        <v>5</v>
      </c>
      <c r="L38">
        <f>O27</f>
        <v>24.195833333333336</v>
      </c>
      <c r="M38">
        <f>F47</f>
        <v>24.534090909090914</v>
      </c>
    </row>
    <row r="39" spans="1:13" x14ac:dyDescent="0.25">
      <c r="B39">
        <f>'RAWDATA SORTED BY_EYEglasses'!E39</f>
        <v>32.5</v>
      </c>
      <c r="C39">
        <f>'RAWDATA SORTED BY_EYEglasses'!F39</f>
        <v>30.1</v>
      </c>
      <c r="D39">
        <f>'RAWDATA SORTED BY_EYEglasses'!G39</f>
        <v>28.8</v>
      </c>
      <c r="E39">
        <f>'RAWDATA SORTED BY_EYEglasses'!H39</f>
        <v>27.9</v>
      </c>
      <c r="F39">
        <f>'RAWDATA SORTED BY_EYEglasses'!I39</f>
        <v>27.2</v>
      </c>
    </row>
    <row r="40" spans="1:13" x14ac:dyDescent="0.25">
      <c r="B40">
        <f>'RAWDATA SORTED BY_EYEglasses'!E40</f>
        <v>32</v>
      </c>
      <c r="C40">
        <f>'RAWDATA SORTED BY_EYEglasses'!F40</f>
        <v>30.6</v>
      </c>
      <c r="D40">
        <f>'RAWDATA SORTED BY_EYEglasses'!G40</f>
        <v>30.4</v>
      </c>
      <c r="E40">
        <f>'RAWDATA SORTED BY_EYEglasses'!H40</f>
        <v>29</v>
      </c>
      <c r="F40">
        <f>'RAWDATA SORTED BY_EYEglasses'!I40</f>
        <v>28.3</v>
      </c>
    </row>
    <row r="41" spans="1:13" x14ac:dyDescent="0.25">
      <c r="B41">
        <f>'RAWDATA SORTED BY_EYEglasses'!E41</f>
        <v>32.299999999999997</v>
      </c>
      <c r="C41">
        <f>'RAWDATA SORTED BY_EYEglasses'!F41</f>
        <v>31.2</v>
      </c>
      <c r="D41">
        <f>'RAWDATA SORTED BY_EYEglasses'!G41</f>
        <v>30.3</v>
      </c>
      <c r="E41">
        <f>'RAWDATA SORTED BY_EYEglasses'!H41</f>
        <v>29.5</v>
      </c>
      <c r="F41">
        <f>'RAWDATA SORTED BY_EYEglasses'!I41</f>
        <v>28.1</v>
      </c>
    </row>
    <row r="42" spans="1:13" x14ac:dyDescent="0.25">
      <c r="B42">
        <f>'RAWDATA SORTED BY_EYEglasses'!E42</f>
        <v>32.200000000000003</v>
      </c>
      <c r="C42">
        <f>'RAWDATA SORTED BY_EYEglasses'!F42</f>
        <v>30.6</v>
      </c>
      <c r="D42">
        <f>'RAWDATA SORTED BY_EYEglasses'!G42</f>
        <v>29.5</v>
      </c>
      <c r="E42">
        <f>'RAWDATA SORTED BY_EYEglasses'!H42</f>
        <v>29</v>
      </c>
      <c r="F42">
        <f>'RAWDATA SORTED BY_EYEglasses'!I42</f>
        <v>28.1</v>
      </c>
    </row>
    <row r="43" spans="1:13" x14ac:dyDescent="0.25">
      <c r="B43">
        <f>'RAWDATA SORTED BY_EYEglasses'!E43</f>
        <v>32.700000000000003</v>
      </c>
      <c r="C43">
        <f>'RAWDATA SORTED BY_EYEglasses'!F43</f>
        <v>30.5</v>
      </c>
      <c r="D43">
        <f>'RAWDATA SORTED BY_EYEglasses'!G43</f>
        <v>29.5</v>
      </c>
      <c r="E43">
        <f>'RAWDATA SORTED BY_EYEglasses'!H43</f>
        <v>29</v>
      </c>
      <c r="F43">
        <f>'RAWDATA SORTED BY_EYEglasses'!I43</f>
        <v>28.1</v>
      </c>
    </row>
    <row r="44" spans="1:13" x14ac:dyDescent="0.25">
      <c r="B44">
        <f>'RAWDATA SORTED BY_EYEglasses'!E44</f>
        <v>32.799999999999997</v>
      </c>
      <c r="C44">
        <f>'RAWDATA SORTED BY_EYEglasses'!F44</f>
        <v>31.2</v>
      </c>
      <c r="D44">
        <f>'RAWDATA SORTED BY_EYEglasses'!G44</f>
        <v>29.6</v>
      </c>
      <c r="E44">
        <f>'RAWDATA SORTED BY_EYEglasses'!H44</f>
        <v>28.7</v>
      </c>
      <c r="F44">
        <f>'RAWDATA SORTED BY_EYEglasses'!I44</f>
        <v>27.7</v>
      </c>
    </row>
    <row r="45" spans="1:13" x14ac:dyDescent="0.25">
      <c r="B45">
        <f>'RAWDATA SORTED BY_EYEglasses'!E45</f>
        <v>32.200000000000003</v>
      </c>
      <c r="C45">
        <f>'RAWDATA SORTED BY_EYEglasses'!F45</f>
        <v>31</v>
      </c>
      <c r="D45">
        <f>'RAWDATA SORTED BY_EYEglasses'!G45</f>
        <v>30.1</v>
      </c>
      <c r="E45">
        <f>'RAWDATA SORTED BY_EYEglasses'!H45</f>
        <v>28.5</v>
      </c>
      <c r="F45">
        <f>'RAWDATA SORTED BY_EYEglasses'!I45</f>
        <v>27.2</v>
      </c>
    </row>
    <row r="46" spans="1:13" x14ac:dyDescent="0.25">
      <c r="B46">
        <f>'RAWDATA SORTED BY_EYEglasses'!E46</f>
        <v>32.799999999999997</v>
      </c>
      <c r="C46">
        <f>'RAWDATA SORTED BY_EYEglasses'!F46</f>
        <v>30.1</v>
      </c>
      <c r="D46">
        <f>'RAWDATA SORTED BY_EYEglasses'!G46</f>
        <v>28.5</v>
      </c>
      <c r="E46">
        <f>'RAWDATA SORTED BY_EYEglasses'!H46</f>
        <v>28.4</v>
      </c>
      <c r="F46">
        <f>'RAWDATA SORTED BY_EYEglasses'!I46</f>
        <v>27.7</v>
      </c>
    </row>
    <row r="47" spans="1:13" x14ac:dyDescent="0.25">
      <c r="A47" t="s">
        <v>16</v>
      </c>
      <c r="B47">
        <f>AVERAGE(B3:B46)</f>
        <v>31.402045454545451</v>
      </c>
      <c r="C47">
        <f>AVERAGE(C3:C46)</f>
        <v>28.698181818181819</v>
      </c>
      <c r="D47">
        <f>AVERAGE(D3:D46)</f>
        <v>27.01136363636363</v>
      </c>
      <c r="E47">
        <f>AVERAGE(E3:E46)</f>
        <v>25.830909090909088</v>
      </c>
      <c r="F47">
        <f>AVERAGE(F3:F46)</f>
        <v>24.534090909090914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93FE-E386-46E6-ADD6-46A08231EA46}">
  <dimension ref="B1:N47"/>
  <sheetViews>
    <sheetView topLeftCell="A23" workbookViewId="0">
      <selection activeCell="H36" sqref="H36"/>
    </sheetView>
  </sheetViews>
  <sheetFormatPr defaultRowHeight="13.2" x14ac:dyDescent="0.25"/>
  <cols>
    <col min="11" max="11" width="16" customWidth="1"/>
    <col min="12" max="12" width="17.44140625" customWidth="1"/>
  </cols>
  <sheetData>
    <row r="1" spans="2:14" x14ac:dyDescent="0.25">
      <c r="B1" t="s">
        <v>46</v>
      </c>
      <c r="J1" t="s">
        <v>48</v>
      </c>
    </row>
    <row r="2" spans="2:14" x14ac:dyDescent="0.25">
      <c r="C2" t="str">
        <f>'RAWDATA SORTED BY_EYEglasses'!J2</f>
        <v>1M</v>
      </c>
      <c r="D2" t="str">
        <f>'RAWDATA SORTED BY_EYEglasses'!K2</f>
        <v>2M</v>
      </c>
      <c r="E2" t="str">
        <f>'RAWDATA SORTED BY_EYEglasses'!L2</f>
        <v>3M</v>
      </c>
      <c r="F2" t="str">
        <f>'RAWDATA SORTED BY_EYEglasses'!M2</f>
        <v>4M</v>
      </c>
      <c r="G2" t="str">
        <f>'RAWDATA SORTED BY_EYEglasses'!N2</f>
        <v>5M</v>
      </c>
      <c r="J2" t="str">
        <f>C2</f>
        <v>1M</v>
      </c>
      <c r="K2" t="str">
        <f>D2</f>
        <v>2M</v>
      </c>
      <c r="L2" t="str">
        <f>E2</f>
        <v>3M</v>
      </c>
      <c r="M2" t="str">
        <f>F2</f>
        <v>4M</v>
      </c>
      <c r="N2" t="str">
        <f>G2</f>
        <v>5M</v>
      </c>
    </row>
    <row r="3" spans="2:14" x14ac:dyDescent="0.25">
      <c r="C3">
        <f>'RAWDATA SORTED BY_EYEglasses'!J3</f>
        <v>30.5</v>
      </c>
      <c r="D3">
        <f>'RAWDATA SORTED BY_EYEglasses'!K3</f>
        <v>26</v>
      </c>
      <c r="E3">
        <f>'RAWDATA SORTED BY_EYEglasses'!L3</f>
        <v>23.5</v>
      </c>
      <c r="F3">
        <f>'RAWDATA SORTED BY_EYEglasses'!M3</f>
        <v>22.5</v>
      </c>
      <c r="G3">
        <f>'RAWDATA SORTED BY_EYEglasses'!N3</f>
        <v>21</v>
      </c>
      <c r="J3">
        <f>'RAWDATA SORTED BY_EYEglasses'!J47</f>
        <v>30.5</v>
      </c>
      <c r="K3">
        <f>'RAWDATA SORTED BY_EYEglasses'!K47</f>
        <v>28.5</v>
      </c>
      <c r="L3">
        <f>'RAWDATA SORTED BY_EYEglasses'!L47</f>
        <v>25.5</v>
      </c>
      <c r="M3">
        <f>'RAWDATA SORTED BY_EYEglasses'!M47</f>
        <v>22.5</v>
      </c>
      <c r="N3">
        <f>'RAWDATA SORTED BY_EYEglasses'!N47</f>
        <v>23</v>
      </c>
    </row>
    <row r="4" spans="2:14" x14ac:dyDescent="0.25">
      <c r="C4">
        <f>'RAWDATA SORTED BY_EYEglasses'!J4</f>
        <v>30.8</v>
      </c>
      <c r="D4">
        <f>'RAWDATA SORTED BY_EYEglasses'!K4</f>
        <v>29</v>
      </c>
      <c r="E4">
        <f>'RAWDATA SORTED BY_EYEglasses'!L4</f>
        <v>25.3</v>
      </c>
      <c r="F4">
        <f>'RAWDATA SORTED BY_EYEglasses'!M4</f>
        <v>23</v>
      </c>
      <c r="G4">
        <f>'RAWDATA SORTED BY_EYEglasses'!N4</f>
        <v>23</v>
      </c>
      <c r="J4">
        <f>'RAWDATA SORTED BY_EYEglasses'!J48</f>
        <v>31.2</v>
      </c>
      <c r="K4">
        <f>'RAWDATA SORTED BY_EYEglasses'!K48</f>
        <v>28.5</v>
      </c>
      <c r="L4">
        <f>'RAWDATA SORTED BY_EYEglasses'!L48</f>
        <v>25.4</v>
      </c>
      <c r="M4">
        <f>'RAWDATA SORTED BY_EYEglasses'!M48</f>
        <v>24</v>
      </c>
      <c r="N4">
        <f>'RAWDATA SORTED BY_EYEglasses'!N48</f>
        <v>22</v>
      </c>
    </row>
    <row r="5" spans="2:14" x14ac:dyDescent="0.25">
      <c r="C5">
        <f>'RAWDATA SORTED BY_EYEglasses'!J5</f>
        <v>32</v>
      </c>
      <c r="D5">
        <f>'RAWDATA SORTED BY_EYEglasses'!K5</f>
        <v>29.7</v>
      </c>
      <c r="E5">
        <f>'RAWDATA SORTED BY_EYEglasses'!L5</f>
        <v>25.7</v>
      </c>
      <c r="F5">
        <f>'RAWDATA SORTED BY_EYEglasses'!M5</f>
        <v>24</v>
      </c>
      <c r="G5">
        <f>'RAWDATA SORTED BY_EYEglasses'!N5</f>
        <v>23</v>
      </c>
      <c r="J5">
        <f>'RAWDATA SORTED BY_EYEglasses'!J49</f>
        <v>30.1</v>
      </c>
      <c r="K5">
        <f>'RAWDATA SORTED BY_EYEglasses'!K49</f>
        <v>26</v>
      </c>
      <c r="L5">
        <f>'RAWDATA SORTED BY_EYEglasses'!L49</f>
        <v>24.1</v>
      </c>
      <c r="M5">
        <f>'RAWDATA SORTED BY_EYEglasses'!M49</f>
        <v>23</v>
      </c>
      <c r="N5">
        <f>'RAWDATA SORTED BY_EYEglasses'!N49</f>
        <v>22</v>
      </c>
    </row>
    <row r="6" spans="2:14" x14ac:dyDescent="0.25">
      <c r="C6">
        <f>'RAWDATA SORTED BY_EYEglasses'!J6</f>
        <v>30</v>
      </c>
      <c r="D6">
        <f>'RAWDATA SORTED BY_EYEglasses'!K6</f>
        <v>27</v>
      </c>
      <c r="E6">
        <f>'RAWDATA SORTED BY_EYEglasses'!L6</f>
        <v>24.5</v>
      </c>
      <c r="F6">
        <f>'RAWDATA SORTED BY_EYEglasses'!M6</f>
        <v>23.7</v>
      </c>
      <c r="G6">
        <f>'RAWDATA SORTED BY_EYEglasses'!N6</f>
        <v>21</v>
      </c>
      <c r="J6">
        <f>'RAWDATA SORTED BY_EYEglasses'!J50</f>
        <v>30.2</v>
      </c>
      <c r="K6">
        <f>'RAWDATA SORTED BY_EYEglasses'!K50</f>
        <v>26.5</v>
      </c>
      <c r="L6">
        <f>'RAWDATA SORTED BY_EYEglasses'!L50</f>
        <v>24</v>
      </c>
      <c r="M6">
        <f>'RAWDATA SORTED BY_EYEglasses'!M50</f>
        <v>23</v>
      </c>
      <c r="N6">
        <f>'RAWDATA SORTED BY_EYEglasses'!N50</f>
        <v>22</v>
      </c>
    </row>
    <row r="7" spans="2:14" x14ac:dyDescent="0.25">
      <c r="C7">
        <f>'RAWDATA SORTED BY_EYEglasses'!J7</f>
        <v>30.2</v>
      </c>
      <c r="D7">
        <f>'RAWDATA SORTED BY_EYEglasses'!K7</f>
        <v>26.5</v>
      </c>
      <c r="E7">
        <f>'RAWDATA SORTED BY_EYEglasses'!L7</f>
        <v>24.7</v>
      </c>
      <c r="F7">
        <f>'RAWDATA SORTED BY_EYEglasses'!M7</f>
        <v>23.5</v>
      </c>
      <c r="G7">
        <f>'RAWDATA SORTED BY_EYEglasses'!N7</f>
        <v>22</v>
      </c>
      <c r="J7">
        <f>'RAWDATA SORTED BY_EYEglasses'!J51</f>
        <v>29</v>
      </c>
      <c r="K7">
        <f>'RAWDATA SORTED BY_EYEglasses'!K51</f>
        <v>26</v>
      </c>
      <c r="L7">
        <f>'RAWDATA SORTED BY_EYEglasses'!L51</f>
        <v>24</v>
      </c>
      <c r="M7">
        <f>'RAWDATA SORTED BY_EYEglasses'!M51</f>
        <v>23</v>
      </c>
      <c r="N7">
        <f>'RAWDATA SORTED BY_EYEglasses'!N51</f>
        <v>22.8</v>
      </c>
    </row>
    <row r="8" spans="2:14" x14ac:dyDescent="0.25">
      <c r="C8">
        <f>'RAWDATA SORTED BY_EYEglasses'!J8</f>
        <v>30.5</v>
      </c>
      <c r="D8">
        <f>'RAWDATA SORTED BY_EYEglasses'!K8</f>
        <v>27</v>
      </c>
      <c r="E8">
        <f>'RAWDATA SORTED BY_EYEglasses'!L8</f>
        <v>26</v>
      </c>
      <c r="F8">
        <f>'RAWDATA SORTED BY_EYEglasses'!M8</f>
        <v>24</v>
      </c>
      <c r="G8">
        <f>'RAWDATA SORTED BY_EYEglasses'!N8</f>
        <v>23</v>
      </c>
      <c r="J8">
        <f>'RAWDATA SORTED BY_EYEglasses'!J52</f>
        <v>30.5</v>
      </c>
      <c r="K8">
        <f>'RAWDATA SORTED BY_EYEglasses'!K52</f>
        <v>26</v>
      </c>
      <c r="L8">
        <f>'RAWDATA SORTED BY_EYEglasses'!L52</f>
        <v>25</v>
      </c>
      <c r="M8">
        <f>'RAWDATA SORTED BY_EYEglasses'!M52</f>
        <v>24</v>
      </c>
      <c r="N8">
        <f>'RAWDATA SORTED BY_EYEglasses'!N52</f>
        <v>22.6</v>
      </c>
    </row>
    <row r="9" spans="2:14" x14ac:dyDescent="0.25">
      <c r="C9">
        <f>'RAWDATA SORTED BY_EYEglasses'!J9</f>
        <v>30.5</v>
      </c>
      <c r="D9">
        <f>'RAWDATA SORTED BY_EYEglasses'!K9</f>
        <v>26.58</v>
      </c>
      <c r="E9">
        <f>'RAWDATA SORTED BY_EYEglasses'!L9</f>
        <v>24.5</v>
      </c>
      <c r="F9">
        <f>'RAWDATA SORTED BY_EYEglasses'!M9</f>
        <v>23.3</v>
      </c>
      <c r="G9">
        <f>'RAWDATA SORTED BY_EYEglasses'!N9</f>
        <v>23</v>
      </c>
      <c r="J9">
        <f>'RAWDATA SORTED BY_EYEglasses'!J53</f>
        <v>31</v>
      </c>
      <c r="K9">
        <f>'RAWDATA SORTED BY_EYEglasses'!K53</f>
        <v>28</v>
      </c>
      <c r="L9">
        <f>'RAWDATA SORTED BY_EYEglasses'!L53</f>
        <v>26.6</v>
      </c>
      <c r="M9">
        <f>'RAWDATA SORTED BY_EYEglasses'!M53</f>
        <v>24.2</v>
      </c>
      <c r="N9">
        <f>'RAWDATA SORTED BY_EYEglasses'!N53</f>
        <v>21</v>
      </c>
    </row>
    <row r="10" spans="2:14" x14ac:dyDescent="0.25">
      <c r="C10">
        <f>'RAWDATA SORTED BY_EYEglasses'!J10</f>
        <v>30.5</v>
      </c>
      <c r="D10">
        <f>'RAWDATA SORTED BY_EYEglasses'!K10</f>
        <v>26.5</v>
      </c>
      <c r="E10">
        <f>'RAWDATA SORTED BY_EYEglasses'!L10</f>
        <v>25.4</v>
      </c>
      <c r="F10">
        <f>'RAWDATA SORTED BY_EYEglasses'!M10</f>
        <v>23.7</v>
      </c>
      <c r="G10">
        <f>'RAWDATA SORTED BY_EYEglasses'!N10</f>
        <v>23</v>
      </c>
      <c r="J10">
        <f>'RAWDATA SORTED BY_EYEglasses'!J54</f>
        <v>31.4</v>
      </c>
      <c r="K10">
        <f>'RAWDATA SORTED BY_EYEglasses'!K54</f>
        <v>27</v>
      </c>
      <c r="L10">
        <f>'RAWDATA SORTED BY_EYEglasses'!L54</f>
        <v>24.2</v>
      </c>
      <c r="M10">
        <f>'RAWDATA SORTED BY_EYEglasses'!M54</f>
        <v>21.5</v>
      </c>
      <c r="N10">
        <f>'RAWDATA SORTED BY_EYEglasses'!N54</f>
        <v>20</v>
      </c>
    </row>
    <row r="11" spans="2:14" x14ac:dyDescent="0.25">
      <c r="C11">
        <f>'RAWDATA SORTED BY_EYEglasses'!J11</f>
        <v>30.8</v>
      </c>
      <c r="D11">
        <f>'RAWDATA SORTED BY_EYEglasses'!K11</f>
        <v>26.2</v>
      </c>
      <c r="E11">
        <f>'RAWDATA SORTED BY_EYEglasses'!L11</f>
        <v>25.5</v>
      </c>
      <c r="F11">
        <f>'RAWDATA SORTED BY_EYEglasses'!M11</f>
        <v>24.3</v>
      </c>
      <c r="G11">
        <f>'RAWDATA SORTED BY_EYEglasses'!N11</f>
        <v>23</v>
      </c>
      <c r="J11">
        <f>'RAWDATA SORTED BY_EYEglasses'!J55</f>
        <v>30.8</v>
      </c>
      <c r="K11">
        <f>'RAWDATA SORTED BY_EYEglasses'!K55</f>
        <v>26.3</v>
      </c>
      <c r="L11">
        <f>'RAWDATA SORTED BY_EYEglasses'!L55</f>
        <v>25.1</v>
      </c>
      <c r="M11">
        <f>'RAWDATA SORTED BY_EYEglasses'!M55</f>
        <v>24.5</v>
      </c>
      <c r="N11">
        <f>'RAWDATA SORTED BY_EYEglasses'!N55</f>
        <v>23.8</v>
      </c>
    </row>
    <row r="12" spans="2:14" x14ac:dyDescent="0.25">
      <c r="C12">
        <f>'RAWDATA SORTED BY_EYEglasses'!J12</f>
        <v>31.2</v>
      </c>
      <c r="D12">
        <f>'RAWDATA SORTED BY_EYEglasses'!K12</f>
        <v>28.2</v>
      </c>
      <c r="E12">
        <f>'RAWDATA SORTED BY_EYEglasses'!L12</f>
        <v>26.8</v>
      </c>
      <c r="F12">
        <f>'RAWDATA SORTED BY_EYEglasses'!M12</f>
        <v>24.8</v>
      </c>
      <c r="G12">
        <f>'RAWDATA SORTED BY_EYEglasses'!N12</f>
        <v>21</v>
      </c>
      <c r="J12">
        <f>'RAWDATA SORTED BY_EYEglasses'!J56</f>
        <v>31</v>
      </c>
      <c r="K12">
        <f>'RAWDATA SORTED BY_EYEglasses'!K56</f>
        <v>27.5</v>
      </c>
      <c r="L12">
        <f>'RAWDATA SORTED BY_EYEglasses'!L56</f>
        <v>26</v>
      </c>
      <c r="M12">
        <f>'RAWDATA SORTED BY_EYEglasses'!M56</f>
        <v>24.2</v>
      </c>
      <c r="N12">
        <f>'RAWDATA SORTED BY_EYEglasses'!N56</f>
        <v>22</v>
      </c>
    </row>
    <row r="13" spans="2:14" x14ac:dyDescent="0.25">
      <c r="C13">
        <f>'RAWDATA SORTED BY_EYEglasses'!J13</f>
        <v>31.8</v>
      </c>
      <c r="D13">
        <f>'RAWDATA SORTED BY_EYEglasses'!K13</f>
        <v>28.1</v>
      </c>
      <c r="E13">
        <f>'RAWDATA SORTED BY_EYEglasses'!L13</f>
        <v>24.8</v>
      </c>
      <c r="F13">
        <f>'RAWDATA SORTED BY_EYEglasses'!M13</f>
        <v>21.5</v>
      </c>
      <c r="G13">
        <f>'RAWDATA SORTED BY_EYEglasses'!N13</f>
        <v>21.3</v>
      </c>
      <c r="J13">
        <f>'RAWDATA SORTED BY_EYEglasses'!J57</f>
        <v>31</v>
      </c>
      <c r="K13">
        <f>'RAWDATA SORTED BY_EYEglasses'!K57</f>
        <v>29.2</v>
      </c>
      <c r="L13">
        <f>'RAWDATA SORTED BY_EYEglasses'!L57</f>
        <v>27</v>
      </c>
      <c r="M13">
        <f>'RAWDATA SORTED BY_EYEglasses'!M57</f>
        <v>25.5</v>
      </c>
      <c r="N13">
        <f>'RAWDATA SORTED BY_EYEglasses'!N57</f>
        <v>22.8</v>
      </c>
    </row>
    <row r="14" spans="2:14" x14ac:dyDescent="0.25">
      <c r="C14">
        <f>'RAWDATA SORTED BY_EYEglasses'!J14</f>
        <v>31.5</v>
      </c>
      <c r="D14">
        <f>'RAWDATA SORTED BY_EYEglasses'!K14</f>
        <v>28.5</v>
      </c>
      <c r="E14">
        <f>'RAWDATA SORTED BY_EYEglasses'!L14</f>
        <v>25.8</v>
      </c>
      <c r="F14">
        <f>'RAWDATA SORTED BY_EYEglasses'!M14</f>
        <v>24.5</v>
      </c>
      <c r="G14">
        <f>'RAWDATA SORTED BY_EYEglasses'!N14</f>
        <v>24</v>
      </c>
      <c r="J14">
        <f>'RAWDATA SORTED BY_EYEglasses'!J58</f>
        <v>31.2</v>
      </c>
      <c r="K14">
        <f>'RAWDATA SORTED BY_EYEglasses'!K58</f>
        <v>29.5</v>
      </c>
      <c r="L14">
        <f>'RAWDATA SORTED BY_EYEglasses'!L58</f>
        <v>27</v>
      </c>
      <c r="M14">
        <f>'RAWDATA SORTED BY_EYEglasses'!M58</f>
        <v>26.2</v>
      </c>
      <c r="N14">
        <f>'RAWDATA SORTED BY_EYEglasses'!N58</f>
        <v>23.3</v>
      </c>
    </row>
    <row r="15" spans="2:14" x14ac:dyDescent="0.25">
      <c r="C15">
        <f>'RAWDATA SORTED BY_EYEglasses'!J15</f>
        <v>30.2</v>
      </c>
      <c r="D15">
        <f>'RAWDATA SORTED BY_EYEglasses'!K15</f>
        <v>27</v>
      </c>
      <c r="E15">
        <f>'RAWDATA SORTED BY_EYEglasses'!L15</f>
        <v>24.8</v>
      </c>
      <c r="F15">
        <f>'RAWDATA SORTED BY_EYEglasses'!M15</f>
        <v>24</v>
      </c>
      <c r="G15">
        <f>'RAWDATA SORTED BY_EYEglasses'!N15</f>
        <v>22</v>
      </c>
      <c r="J15">
        <f>'RAWDATA SORTED BY_EYEglasses'!J59</f>
        <v>31.2</v>
      </c>
      <c r="K15">
        <f>'RAWDATA SORTED BY_EYEglasses'!K59</f>
        <v>27.2</v>
      </c>
      <c r="L15">
        <f>'RAWDATA SORTED BY_EYEglasses'!L59</f>
        <v>26.8</v>
      </c>
      <c r="M15">
        <f>'RAWDATA SORTED BY_EYEglasses'!M59</f>
        <v>26</v>
      </c>
      <c r="N15">
        <f>'RAWDATA SORTED BY_EYEglasses'!N59</f>
        <v>24</v>
      </c>
    </row>
    <row r="16" spans="2:14" x14ac:dyDescent="0.25">
      <c r="C16">
        <f>'RAWDATA SORTED BY_EYEglasses'!J16</f>
        <v>31.7</v>
      </c>
      <c r="D16">
        <f>'RAWDATA SORTED BY_EYEglasses'!K16</f>
        <v>27</v>
      </c>
      <c r="E16">
        <f>'RAWDATA SORTED BY_EYEglasses'!L16</f>
        <v>25.9</v>
      </c>
      <c r="F16">
        <f>'RAWDATA SORTED BY_EYEglasses'!M16</f>
        <v>24.4</v>
      </c>
      <c r="G16">
        <f>'RAWDATA SORTED BY_EYEglasses'!N16</f>
        <v>24</v>
      </c>
      <c r="J16">
        <f>'RAWDATA SORTED BY_EYEglasses'!J60</f>
        <v>31.3</v>
      </c>
      <c r="K16">
        <f>'RAWDATA SORTED BY_EYEglasses'!K60</f>
        <v>28.5</v>
      </c>
      <c r="L16">
        <f>'RAWDATA SORTED BY_EYEglasses'!L60</f>
        <v>27.5</v>
      </c>
      <c r="M16">
        <f>'RAWDATA SORTED BY_EYEglasses'!M60</f>
        <v>27</v>
      </c>
      <c r="N16">
        <f>'RAWDATA SORTED BY_EYEglasses'!N60</f>
        <v>24.5</v>
      </c>
    </row>
    <row r="17" spans="3:14" x14ac:dyDescent="0.25">
      <c r="C17">
        <f>'RAWDATA SORTED BY_EYEglasses'!J17</f>
        <v>30.2</v>
      </c>
      <c r="D17">
        <f>'RAWDATA SORTED BY_EYEglasses'!K17</f>
        <v>27</v>
      </c>
      <c r="E17">
        <f>'RAWDATA SORTED BY_EYEglasses'!L17</f>
        <v>24.8</v>
      </c>
      <c r="F17">
        <f>'RAWDATA SORTED BY_EYEglasses'!M17</f>
        <v>24.2</v>
      </c>
      <c r="G17">
        <f>'RAWDATA SORTED BY_EYEglasses'!N17</f>
        <v>23</v>
      </c>
      <c r="J17">
        <f>'RAWDATA SORTED BY_EYEglasses'!J61</f>
        <v>31.5</v>
      </c>
      <c r="K17">
        <f>'RAWDATA SORTED BY_EYEglasses'!K61</f>
        <v>30</v>
      </c>
      <c r="L17">
        <f>'RAWDATA SORTED BY_EYEglasses'!L61</f>
        <v>28.6</v>
      </c>
      <c r="M17">
        <f>'RAWDATA SORTED BY_EYEglasses'!M61</f>
        <v>27.8</v>
      </c>
      <c r="N17">
        <f>'RAWDATA SORTED BY_EYEglasses'!N61</f>
        <v>25</v>
      </c>
    </row>
    <row r="18" spans="3:14" x14ac:dyDescent="0.25">
      <c r="C18">
        <f>'RAWDATA SORTED BY_EYEglasses'!J18</f>
        <v>31.3</v>
      </c>
      <c r="D18">
        <f>'RAWDATA SORTED BY_EYEglasses'!K18</f>
        <v>28</v>
      </c>
      <c r="E18">
        <f>'RAWDATA SORTED BY_EYEglasses'!L18</f>
        <v>26.5</v>
      </c>
      <c r="F18">
        <f>'RAWDATA SORTED BY_EYEglasses'!M18</f>
        <v>25</v>
      </c>
      <c r="G18">
        <f>'RAWDATA SORTED BY_EYEglasses'!N18</f>
        <v>24</v>
      </c>
      <c r="J18">
        <f>'RAWDATA SORTED BY_EYEglasses'!J62</f>
        <v>32</v>
      </c>
      <c r="K18">
        <f>'RAWDATA SORTED BY_EYEglasses'!K62</f>
        <v>30.5</v>
      </c>
      <c r="L18">
        <f>'RAWDATA SORTED BY_EYEglasses'!L62</f>
        <v>28.2</v>
      </c>
      <c r="M18">
        <f>'RAWDATA SORTED BY_EYEglasses'!M62</f>
        <v>27.9</v>
      </c>
      <c r="N18">
        <f>'RAWDATA SORTED BY_EYEglasses'!N62</f>
        <v>25</v>
      </c>
    </row>
    <row r="19" spans="3:14" x14ac:dyDescent="0.25">
      <c r="C19">
        <f>'RAWDATA SORTED BY_EYEglasses'!J19</f>
        <v>31</v>
      </c>
      <c r="D19">
        <f>'RAWDATA SORTED BY_EYEglasses'!K19</f>
        <v>27</v>
      </c>
      <c r="E19">
        <f>'RAWDATA SORTED BY_EYEglasses'!L19</f>
        <v>25.8</v>
      </c>
      <c r="F19">
        <f>'RAWDATA SORTED BY_EYEglasses'!M19</f>
        <v>24</v>
      </c>
      <c r="G19">
        <f>'RAWDATA SORTED BY_EYEglasses'!N19</f>
        <v>23.5</v>
      </c>
      <c r="J19">
        <f>'RAWDATA SORTED BY_EYEglasses'!J63</f>
        <v>33</v>
      </c>
      <c r="K19">
        <f>'RAWDATA SORTED BY_EYEglasses'!K63</f>
        <v>32.4</v>
      </c>
      <c r="L19">
        <f>'RAWDATA SORTED BY_EYEglasses'!L63</f>
        <v>29.5</v>
      </c>
      <c r="M19">
        <f>'RAWDATA SORTED BY_EYEglasses'!M63</f>
        <v>27.5</v>
      </c>
      <c r="N19">
        <f>'RAWDATA SORTED BY_EYEglasses'!N63</f>
        <v>26.2</v>
      </c>
    </row>
    <row r="20" spans="3:14" x14ac:dyDescent="0.25">
      <c r="C20">
        <f>'RAWDATA SORTED BY_EYEglasses'!J20</f>
        <v>31.7</v>
      </c>
      <c r="D20">
        <f>'RAWDATA SORTED BY_EYEglasses'!K20</f>
        <v>28</v>
      </c>
      <c r="E20">
        <f>'RAWDATA SORTED BY_EYEglasses'!L20</f>
        <v>26.7</v>
      </c>
      <c r="F20">
        <f>'RAWDATA SORTED BY_EYEglasses'!M20</f>
        <v>25.2</v>
      </c>
      <c r="G20">
        <f>'RAWDATA SORTED BY_EYEglasses'!N20</f>
        <v>22.5</v>
      </c>
      <c r="J20">
        <f>'RAWDATA SORTED BY_EYEglasses'!J64</f>
        <v>31.5</v>
      </c>
      <c r="K20">
        <f>'RAWDATA SORTED BY_EYEglasses'!K64</f>
        <v>30.5</v>
      </c>
      <c r="L20">
        <f>'RAWDATA SORTED BY_EYEglasses'!L64</f>
        <v>30</v>
      </c>
      <c r="M20">
        <f>'RAWDATA SORTED BY_EYEglasses'!M64</f>
        <v>28.8</v>
      </c>
      <c r="N20">
        <f>'RAWDATA SORTED BY_EYEglasses'!N64</f>
        <v>27.5</v>
      </c>
    </row>
    <row r="21" spans="3:14" x14ac:dyDescent="0.25">
      <c r="C21">
        <f>'RAWDATA SORTED BY_EYEglasses'!J21</f>
        <v>31.3</v>
      </c>
      <c r="D21">
        <f>'RAWDATA SORTED BY_EYEglasses'!K21</f>
        <v>29.5</v>
      </c>
      <c r="E21">
        <f>'RAWDATA SORTED BY_EYEglasses'!L21</f>
        <v>27.5</v>
      </c>
      <c r="F21">
        <f>'RAWDATA SORTED BY_EYEglasses'!M21</f>
        <v>25.8</v>
      </c>
      <c r="G21">
        <f>'RAWDATA SORTED BY_EYEglasses'!N21</f>
        <v>23</v>
      </c>
      <c r="J21">
        <f>'RAWDATA SORTED BY_EYEglasses'!J65</f>
        <v>32.799999999999997</v>
      </c>
      <c r="K21">
        <f>'RAWDATA SORTED BY_EYEglasses'!K65</f>
        <v>32.200000000000003</v>
      </c>
      <c r="L21">
        <f>'RAWDATA SORTED BY_EYEglasses'!L65</f>
        <v>30.5</v>
      </c>
      <c r="M21">
        <f>'RAWDATA SORTED BY_EYEglasses'!M65</f>
        <v>28.5</v>
      </c>
      <c r="N21">
        <f>'RAWDATA SORTED BY_EYEglasses'!N65</f>
        <v>28</v>
      </c>
    </row>
    <row r="22" spans="3:14" x14ac:dyDescent="0.25">
      <c r="C22">
        <f>'RAWDATA SORTED BY_EYEglasses'!J22</f>
        <v>31.5</v>
      </c>
      <c r="D22">
        <f>'RAWDATA SORTED BY_EYEglasses'!K22</f>
        <v>29.8</v>
      </c>
      <c r="E22">
        <f>'RAWDATA SORTED BY_EYEglasses'!L22</f>
        <v>27.4</v>
      </c>
      <c r="F22">
        <f>'RAWDATA SORTED BY_EYEglasses'!M22</f>
        <v>26.5</v>
      </c>
      <c r="G22">
        <f>'RAWDATA SORTED BY_EYEglasses'!N22</f>
        <v>23</v>
      </c>
      <c r="J22">
        <f>'RAWDATA SORTED BY_EYEglasses'!J66</f>
        <v>31.5</v>
      </c>
      <c r="K22">
        <f>'RAWDATA SORTED BY_EYEglasses'!K66</f>
        <v>30</v>
      </c>
      <c r="L22">
        <f>'RAWDATA SORTED BY_EYEglasses'!L66</f>
        <v>29.7</v>
      </c>
      <c r="M22">
        <f>'RAWDATA SORTED BY_EYEglasses'!M66</f>
        <v>28</v>
      </c>
      <c r="N22">
        <f>'RAWDATA SORTED BY_EYEglasses'!N66</f>
        <v>27</v>
      </c>
    </row>
    <row r="23" spans="3:14" x14ac:dyDescent="0.25">
      <c r="C23">
        <f>'RAWDATA SORTED BY_EYEglasses'!J23</f>
        <v>31.5</v>
      </c>
      <c r="D23">
        <f>'RAWDATA SORTED BY_EYEglasses'!K23</f>
        <v>27.8</v>
      </c>
      <c r="E23">
        <f>'RAWDATA SORTED BY_EYEglasses'!L23</f>
        <v>27</v>
      </c>
      <c r="F23">
        <f>'RAWDATA SORTED BY_EYEglasses'!M23</f>
        <v>26.2</v>
      </c>
      <c r="G23">
        <f>'RAWDATA SORTED BY_EYEglasses'!N23</f>
        <v>24.5</v>
      </c>
      <c r="J23">
        <f>'RAWDATA SORTED BY_EYEglasses'!J67</f>
        <v>32.6</v>
      </c>
      <c r="K23">
        <f>'RAWDATA SORTED BY_EYEglasses'!K67</f>
        <v>30.1</v>
      </c>
      <c r="L23">
        <f>'RAWDATA SORTED BY_EYEglasses'!L67</f>
        <v>29</v>
      </c>
      <c r="M23">
        <f>'RAWDATA SORTED BY_EYEglasses'!M67</f>
        <v>28.5</v>
      </c>
      <c r="N23">
        <f>'RAWDATA SORTED BY_EYEglasses'!N67</f>
        <v>27.2</v>
      </c>
    </row>
    <row r="24" spans="3:14" x14ac:dyDescent="0.25">
      <c r="C24">
        <f>'RAWDATA SORTED BY_EYEglasses'!J24</f>
        <v>32.700000000000003</v>
      </c>
      <c r="D24">
        <f>'RAWDATA SORTED BY_EYEglasses'!K24</f>
        <v>29.2</v>
      </c>
      <c r="E24">
        <f>'RAWDATA SORTED BY_EYEglasses'!L24</f>
        <v>27</v>
      </c>
      <c r="F24">
        <f>'RAWDATA SORTED BY_EYEglasses'!M24</f>
        <v>25.8</v>
      </c>
      <c r="G24">
        <f>'RAWDATA SORTED BY_EYEglasses'!N24</f>
        <v>24.3</v>
      </c>
      <c r="J24">
        <f>'RAWDATA SORTED BY_EYEglasses'!J68</f>
        <v>32.200000000000003</v>
      </c>
      <c r="K24">
        <f>'RAWDATA SORTED BY_EYEglasses'!K68</f>
        <v>30.5</v>
      </c>
      <c r="L24">
        <f>'RAWDATA SORTED BY_EYEglasses'!L68</f>
        <v>29.8</v>
      </c>
      <c r="M24">
        <f>'RAWDATA SORTED BY_EYEglasses'!M68</f>
        <v>29</v>
      </c>
      <c r="N24">
        <f>'RAWDATA SORTED BY_EYEglasses'!N68</f>
        <v>28</v>
      </c>
    </row>
    <row r="25" spans="3:14" x14ac:dyDescent="0.25">
      <c r="C25">
        <f>'RAWDATA SORTED BY_EYEglasses'!J25</f>
        <v>31.2</v>
      </c>
      <c r="D25">
        <f>'RAWDATA SORTED BY_EYEglasses'!K25</f>
        <v>27</v>
      </c>
      <c r="E25">
        <f>'RAWDATA SORTED BY_EYEglasses'!L25</f>
        <v>26.5</v>
      </c>
      <c r="F25">
        <f>'RAWDATA SORTED BY_EYEglasses'!M25</f>
        <v>26</v>
      </c>
      <c r="G25">
        <f>'RAWDATA SORTED BY_EYEglasses'!N25</f>
        <v>24.2</v>
      </c>
      <c r="J25">
        <f>'RAWDATA SORTED BY_EYEglasses'!J69</f>
        <v>32.700000000000003</v>
      </c>
      <c r="K25">
        <f>'RAWDATA SORTED BY_EYEglasses'!K69</f>
        <v>31.1</v>
      </c>
      <c r="L25">
        <f>'RAWDATA SORTED BY_EYEglasses'!L69</f>
        <v>30.4</v>
      </c>
      <c r="M25">
        <f>'RAWDATA SORTED BY_EYEglasses'!M69</f>
        <v>29.1</v>
      </c>
      <c r="N25">
        <f>'RAWDATA SORTED BY_EYEglasses'!N69</f>
        <v>28</v>
      </c>
    </row>
    <row r="26" spans="3:14" x14ac:dyDescent="0.25">
      <c r="C26">
        <f>'RAWDATA SORTED BY_EYEglasses'!J26</f>
        <v>32.4</v>
      </c>
      <c r="D26">
        <f>'RAWDATA SORTED BY_EYEglasses'!K26</f>
        <v>28.5</v>
      </c>
      <c r="E26">
        <f>'RAWDATA SORTED BY_EYEglasses'!L26</f>
        <v>26.8</v>
      </c>
      <c r="F26">
        <f>'RAWDATA SORTED BY_EYEglasses'!M26</f>
        <v>26.3</v>
      </c>
      <c r="G26">
        <f>'RAWDATA SORTED BY_EYEglasses'!N26</f>
        <v>23.5</v>
      </c>
      <c r="J26">
        <f>'RAWDATA SORTED BY_EYEglasses'!J70</f>
        <v>32.6</v>
      </c>
      <c r="K26">
        <f>'RAWDATA SORTED BY_EYEglasses'!K70</f>
        <v>30.1</v>
      </c>
      <c r="L26">
        <f>'RAWDATA SORTED BY_EYEglasses'!L70</f>
        <v>29.3</v>
      </c>
      <c r="M26">
        <f>'RAWDATA SORTED BY_EYEglasses'!M70</f>
        <v>28.8</v>
      </c>
      <c r="N26">
        <f>'RAWDATA SORTED BY_EYEglasses'!N70</f>
        <v>28.5</v>
      </c>
    </row>
    <row r="27" spans="3:14" x14ac:dyDescent="0.25">
      <c r="C27">
        <f>'RAWDATA SORTED BY_EYEglasses'!J27</f>
        <v>31.2</v>
      </c>
      <c r="D27">
        <f>'RAWDATA SORTED BY_EYEglasses'!K27</f>
        <v>28.6</v>
      </c>
      <c r="E27">
        <f>'RAWDATA SORTED BY_EYEglasses'!L27</f>
        <v>27.3</v>
      </c>
      <c r="F27">
        <f>'RAWDATA SORTED BY_EYEglasses'!M27</f>
        <v>27</v>
      </c>
      <c r="G27">
        <f>'RAWDATA SORTED BY_EYEglasses'!N27</f>
        <v>24.2</v>
      </c>
      <c r="I27" t="s">
        <v>16</v>
      </c>
      <c r="J27">
        <f>AVERAGE(J3:J26)</f>
        <v>31.366666666666671</v>
      </c>
      <c r="K27">
        <f>AVERAGE(K3:K26)</f>
        <v>28.837500000000002</v>
      </c>
      <c r="L27">
        <f>AVERAGE(L3:L26)</f>
        <v>27.216666666666665</v>
      </c>
      <c r="M27">
        <f>AVERAGE(M3:M26)</f>
        <v>25.937499999999996</v>
      </c>
      <c r="N27">
        <f>AVERAGE(N3:N26)</f>
        <v>24.425000000000001</v>
      </c>
    </row>
    <row r="28" spans="3:14" x14ac:dyDescent="0.25">
      <c r="C28">
        <f>'RAWDATA SORTED BY_EYEglasses'!J28</f>
        <v>31.1</v>
      </c>
      <c r="D28">
        <f>'RAWDATA SORTED BY_EYEglasses'!K28</f>
        <v>28.8</v>
      </c>
      <c r="E28">
        <f>'RAWDATA SORTED BY_EYEglasses'!L28</f>
        <v>27.8</v>
      </c>
      <c r="F28">
        <f>'RAWDATA SORTED BY_EYEglasses'!M28</f>
        <v>27.2</v>
      </c>
      <c r="G28">
        <f>'RAWDATA SORTED BY_EYEglasses'!N28</f>
        <v>24.8</v>
      </c>
    </row>
    <row r="29" spans="3:14" x14ac:dyDescent="0.25">
      <c r="C29">
        <f>'RAWDATA SORTED BY_EYEglasses'!J29</f>
        <v>31.8</v>
      </c>
      <c r="D29">
        <f>'RAWDATA SORTED BY_EYEglasses'!K29</f>
        <v>30.2</v>
      </c>
      <c r="E29">
        <f>'RAWDATA SORTED BY_EYEglasses'!L29</f>
        <v>28.8</v>
      </c>
      <c r="F29">
        <f>'RAWDATA SORTED BY_EYEglasses'!M29</f>
        <v>28</v>
      </c>
      <c r="G29">
        <f>'RAWDATA SORTED BY_EYEglasses'!N29</f>
        <v>26.3</v>
      </c>
    </row>
    <row r="30" spans="3:14" x14ac:dyDescent="0.25">
      <c r="C30">
        <f>'RAWDATA SORTED BY_EYEglasses'!J30</f>
        <v>33</v>
      </c>
      <c r="D30">
        <f>'RAWDATA SORTED BY_EYEglasses'!K30</f>
        <v>30.8</v>
      </c>
      <c r="E30">
        <f>'RAWDATA SORTED BY_EYEglasses'!L30</f>
        <v>28.5</v>
      </c>
      <c r="F30">
        <f>'RAWDATA SORTED BY_EYEglasses'!M30</f>
        <v>28.2</v>
      </c>
      <c r="G30">
        <f>'RAWDATA SORTED BY_EYEglasses'!N30</f>
        <v>26</v>
      </c>
      <c r="J30" s="4" t="s">
        <v>47</v>
      </c>
      <c r="K30" s="4"/>
      <c r="L30" s="4"/>
      <c r="M30" s="4"/>
      <c r="N30" s="4"/>
    </row>
    <row r="31" spans="3:14" x14ac:dyDescent="0.25">
      <c r="C31">
        <f>'RAWDATA SORTED BY_EYEglasses'!J31</f>
        <v>35</v>
      </c>
      <c r="D31">
        <f>'RAWDATA SORTED BY_EYEglasses'!K31</f>
        <v>32.200000000000003</v>
      </c>
      <c r="E31">
        <f>'RAWDATA SORTED BY_EYEglasses'!L31</f>
        <v>29</v>
      </c>
      <c r="F31">
        <f>'RAWDATA SORTED BY_EYEglasses'!M31</f>
        <v>27.5</v>
      </c>
      <c r="G31">
        <f>'RAWDATA SORTED BY_EYEglasses'!N31</f>
        <v>27.2</v>
      </c>
      <c r="J31" s="4" t="s">
        <v>18</v>
      </c>
      <c r="K31" s="4" t="s">
        <v>54</v>
      </c>
      <c r="L31" s="4" t="s">
        <v>57</v>
      </c>
    </row>
    <row r="32" spans="3:14" x14ac:dyDescent="0.25">
      <c r="C32">
        <f>'RAWDATA SORTED BY_EYEglasses'!J32</f>
        <v>33.299999999999997</v>
      </c>
      <c r="D32">
        <f>'RAWDATA SORTED BY_EYEglasses'!K32</f>
        <v>32.6</v>
      </c>
      <c r="E32">
        <f>'RAWDATA SORTED BY_EYEglasses'!L32</f>
        <v>29.8</v>
      </c>
      <c r="F32">
        <f>'RAWDATA SORTED BY_EYEglasses'!M32</f>
        <v>27.8</v>
      </c>
      <c r="G32">
        <f>'RAWDATA SORTED BY_EYEglasses'!N32</f>
        <v>26.5</v>
      </c>
      <c r="J32">
        <v>1</v>
      </c>
      <c r="K32">
        <f>J27</f>
        <v>31.366666666666671</v>
      </c>
      <c r="L32">
        <f>C47</f>
        <v>31.849999999999998</v>
      </c>
    </row>
    <row r="33" spans="2:12" x14ac:dyDescent="0.25">
      <c r="C33">
        <f>'RAWDATA SORTED BY_EYEglasses'!J33</f>
        <v>32.299999999999997</v>
      </c>
      <c r="D33">
        <f>'RAWDATA SORTED BY_EYEglasses'!K33</f>
        <v>30.8</v>
      </c>
      <c r="E33">
        <f>'RAWDATA SORTED BY_EYEglasses'!L33</f>
        <v>30.2</v>
      </c>
      <c r="F33">
        <f>'RAWDATA SORTED BY_EYEglasses'!M33</f>
        <v>29</v>
      </c>
      <c r="G33">
        <f>'RAWDATA SORTED BY_EYEglasses'!N33</f>
        <v>27.8</v>
      </c>
      <c r="J33">
        <v>2</v>
      </c>
      <c r="K33">
        <f>K27</f>
        <v>28.837500000000002</v>
      </c>
      <c r="L33">
        <f>D47</f>
        <v>29.176818181818177</v>
      </c>
    </row>
    <row r="34" spans="2:12" x14ac:dyDescent="0.25">
      <c r="C34">
        <f>'RAWDATA SORTED BY_EYEglasses'!J34</f>
        <v>32.799999999999997</v>
      </c>
      <c r="D34">
        <f>'RAWDATA SORTED BY_EYEglasses'!K34</f>
        <v>32.5</v>
      </c>
      <c r="E34">
        <f>'RAWDATA SORTED BY_EYEglasses'!L34</f>
        <v>30.9</v>
      </c>
      <c r="F34">
        <f>'RAWDATA SORTED BY_EYEglasses'!M34</f>
        <v>28.7</v>
      </c>
      <c r="G34">
        <f>'RAWDATA SORTED BY_EYEglasses'!N34</f>
        <v>28.1</v>
      </c>
      <c r="J34">
        <v>3</v>
      </c>
      <c r="K34">
        <f>L27</f>
        <v>27.216666666666665</v>
      </c>
      <c r="L34">
        <f>E47</f>
        <v>27.513636363636351</v>
      </c>
    </row>
    <row r="35" spans="2:12" x14ac:dyDescent="0.25">
      <c r="C35">
        <f>'RAWDATA SORTED BY_EYEglasses'!J35</f>
        <v>32.6</v>
      </c>
      <c r="D35">
        <f>'RAWDATA SORTED BY_EYEglasses'!K35</f>
        <v>32.200000000000003</v>
      </c>
      <c r="E35">
        <f>'RAWDATA SORTED BY_EYEglasses'!L35</f>
        <v>30.5</v>
      </c>
      <c r="F35">
        <f>'RAWDATA SORTED BY_EYEglasses'!M35</f>
        <v>28.5</v>
      </c>
      <c r="G35">
        <f>'RAWDATA SORTED BY_EYEglasses'!N35</f>
        <v>28.2</v>
      </c>
      <c r="J35">
        <v>4</v>
      </c>
      <c r="K35">
        <f>M27</f>
        <v>25.937499999999996</v>
      </c>
      <c r="L35">
        <f>F47</f>
        <v>26.245454545454546</v>
      </c>
    </row>
    <row r="36" spans="2:12" x14ac:dyDescent="0.25">
      <c r="C36">
        <f>'RAWDATA SORTED BY_EYEglasses'!J36</f>
        <v>32.5</v>
      </c>
      <c r="D36">
        <f>'RAWDATA SORTED BY_EYEglasses'!K36</f>
        <v>30.4</v>
      </c>
      <c r="E36">
        <f>'RAWDATA SORTED BY_EYEglasses'!L36</f>
        <v>30</v>
      </c>
      <c r="F36">
        <f>'RAWDATA SORTED BY_EYEglasses'!M36</f>
        <v>28.3</v>
      </c>
      <c r="G36">
        <f>'RAWDATA SORTED BY_EYEglasses'!N36</f>
        <v>27</v>
      </c>
      <c r="J36">
        <v>5</v>
      </c>
      <c r="K36">
        <f>N27</f>
        <v>24.425000000000001</v>
      </c>
      <c r="L36">
        <f>G47</f>
        <v>24.849999999999998</v>
      </c>
    </row>
    <row r="37" spans="2:12" x14ac:dyDescent="0.25">
      <c r="C37">
        <f>'RAWDATA SORTED BY_EYEglasses'!J37</f>
        <v>33</v>
      </c>
      <c r="D37">
        <f>'RAWDATA SORTED BY_EYEglasses'!K37</f>
        <v>30.4</v>
      </c>
      <c r="E37">
        <f>'RAWDATA SORTED BY_EYEglasses'!L37</f>
        <v>29.2</v>
      </c>
      <c r="F37">
        <f>'RAWDATA SORTED BY_EYEglasses'!M37</f>
        <v>27.5</v>
      </c>
      <c r="G37">
        <f>'RAWDATA SORTED BY_EYEglasses'!N37</f>
        <v>27</v>
      </c>
    </row>
    <row r="38" spans="2:12" x14ac:dyDescent="0.25">
      <c r="C38">
        <f>'RAWDATA SORTED BY_EYEglasses'!J38</f>
        <v>32</v>
      </c>
      <c r="D38">
        <f>'RAWDATA SORTED BY_EYEglasses'!K38</f>
        <v>30.1</v>
      </c>
      <c r="E38">
        <f>'RAWDATA SORTED BY_EYEglasses'!L38</f>
        <v>28.8</v>
      </c>
      <c r="F38">
        <f>'RAWDATA SORTED BY_EYEglasses'!M38</f>
        <v>28</v>
      </c>
      <c r="G38">
        <f>'RAWDATA SORTED BY_EYEglasses'!N38</f>
        <v>26.2</v>
      </c>
    </row>
    <row r="39" spans="2:12" x14ac:dyDescent="0.25">
      <c r="C39">
        <f>'RAWDATA SORTED BY_EYEglasses'!J39</f>
        <v>33.1</v>
      </c>
      <c r="D39">
        <f>'RAWDATA SORTED BY_EYEglasses'!K39</f>
        <v>30.6</v>
      </c>
      <c r="E39">
        <f>'RAWDATA SORTED BY_EYEglasses'!L39</f>
        <v>29.5</v>
      </c>
      <c r="F39">
        <f>'RAWDATA SORTED BY_EYEglasses'!M39</f>
        <v>28.5</v>
      </c>
      <c r="G39">
        <f>'RAWDATA SORTED BY_EYEglasses'!N39</f>
        <v>27.4</v>
      </c>
    </row>
    <row r="40" spans="2:12" x14ac:dyDescent="0.25">
      <c r="C40">
        <f>'RAWDATA SORTED BY_EYEglasses'!J40</f>
        <v>32.5</v>
      </c>
      <c r="D40">
        <f>'RAWDATA SORTED BY_EYEglasses'!K40</f>
        <v>30.7</v>
      </c>
      <c r="E40">
        <f>'RAWDATA SORTED BY_EYEglasses'!L40</f>
        <v>30.1</v>
      </c>
      <c r="F40">
        <f>'RAWDATA SORTED BY_EYEglasses'!M40</f>
        <v>29.3</v>
      </c>
      <c r="G40">
        <f>'RAWDATA SORTED BY_EYEglasses'!N40</f>
        <v>28</v>
      </c>
    </row>
    <row r="41" spans="2:12" x14ac:dyDescent="0.25">
      <c r="C41">
        <f>'RAWDATA SORTED BY_EYEglasses'!J41</f>
        <v>33.1</v>
      </c>
      <c r="D41">
        <f>'RAWDATA SORTED BY_EYEglasses'!K41</f>
        <v>31.5</v>
      </c>
      <c r="E41">
        <f>'RAWDATA SORTED BY_EYEglasses'!L41</f>
        <v>30.6</v>
      </c>
      <c r="F41">
        <f>'RAWDATA SORTED BY_EYEglasses'!M41</f>
        <v>29.6</v>
      </c>
      <c r="G41">
        <f>'RAWDATA SORTED BY_EYEglasses'!N41</f>
        <v>28.3</v>
      </c>
    </row>
    <row r="42" spans="2:12" x14ac:dyDescent="0.25">
      <c r="C42">
        <f>'RAWDATA SORTED BY_EYEglasses'!J42</f>
        <v>32.700000000000003</v>
      </c>
      <c r="D42">
        <f>'RAWDATA SORTED BY_EYEglasses'!K42</f>
        <v>31.4</v>
      </c>
      <c r="E42">
        <f>'RAWDATA SORTED BY_EYEglasses'!L42</f>
        <v>30.6</v>
      </c>
      <c r="F42">
        <f>'RAWDATA SORTED BY_EYEglasses'!M42</f>
        <v>29.4</v>
      </c>
      <c r="G42">
        <f>'RAWDATA SORTED BY_EYEglasses'!N42</f>
        <v>28.3</v>
      </c>
    </row>
    <row r="43" spans="2:12" x14ac:dyDescent="0.25">
      <c r="C43">
        <f>'RAWDATA SORTED BY_EYEglasses'!J43</f>
        <v>33.200000000000003</v>
      </c>
      <c r="D43">
        <f>'RAWDATA SORTED BY_EYEglasses'!K43</f>
        <v>31.1</v>
      </c>
      <c r="E43">
        <f>'RAWDATA SORTED BY_EYEglasses'!L43</f>
        <v>30</v>
      </c>
      <c r="F43">
        <f>'RAWDATA SORTED BY_EYEglasses'!M43</f>
        <v>29.6</v>
      </c>
      <c r="G43">
        <f>'RAWDATA SORTED BY_EYEglasses'!N43</f>
        <v>28</v>
      </c>
    </row>
    <row r="44" spans="2:12" x14ac:dyDescent="0.25">
      <c r="C44">
        <f>'RAWDATA SORTED BY_EYEglasses'!J44</f>
        <v>33</v>
      </c>
      <c r="D44">
        <f>'RAWDATA SORTED BY_EYEglasses'!K44</f>
        <v>31.7</v>
      </c>
      <c r="E44">
        <f>'RAWDATA SORTED BY_EYEglasses'!L44</f>
        <v>30</v>
      </c>
      <c r="F44">
        <f>'RAWDATA SORTED BY_EYEglasses'!M44</f>
        <v>29</v>
      </c>
      <c r="G44">
        <f>'RAWDATA SORTED BY_EYEglasses'!N44</f>
        <v>28</v>
      </c>
    </row>
    <row r="45" spans="2:12" x14ac:dyDescent="0.25">
      <c r="C45">
        <f>'RAWDATA SORTED BY_EYEglasses'!J45</f>
        <v>33</v>
      </c>
      <c r="D45">
        <f>'RAWDATA SORTED BY_EYEglasses'!K45</f>
        <v>31.5</v>
      </c>
      <c r="E45">
        <f>'RAWDATA SORTED BY_EYEglasses'!L45</f>
        <v>30.5</v>
      </c>
      <c r="F45">
        <f>'RAWDATA SORTED BY_EYEglasses'!M45</f>
        <v>28.8</v>
      </c>
      <c r="G45">
        <f>'RAWDATA SORTED BY_EYEglasses'!N45</f>
        <v>27.5</v>
      </c>
    </row>
    <row r="46" spans="2:12" x14ac:dyDescent="0.25">
      <c r="C46">
        <f>'RAWDATA SORTED BY_EYEglasses'!J46</f>
        <v>33.200000000000003</v>
      </c>
      <c r="D46">
        <f>'RAWDATA SORTED BY_EYEglasses'!K46</f>
        <v>30.6</v>
      </c>
      <c r="E46">
        <f>'RAWDATA SORTED BY_EYEglasses'!L46</f>
        <v>29.3</v>
      </c>
      <c r="F46">
        <f>'RAWDATA SORTED BY_EYEglasses'!M46</f>
        <v>28.7</v>
      </c>
      <c r="G46">
        <f>'RAWDATA SORTED BY_EYEglasses'!N46</f>
        <v>28.8</v>
      </c>
    </row>
    <row r="47" spans="2:12" x14ac:dyDescent="0.25">
      <c r="B47" t="s">
        <v>16</v>
      </c>
      <c r="C47">
        <f>AVERAGE(C3:C46)</f>
        <v>31.849999999999998</v>
      </c>
      <c r="D47">
        <f>AVERAGE(D3:D46)</f>
        <v>29.176818181818177</v>
      </c>
      <c r="E47">
        <f>AVERAGE(E3:E46)</f>
        <v>27.513636363636351</v>
      </c>
      <c r="F47">
        <f>AVERAGE(F3:F46)</f>
        <v>26.245454545454546</v>
      </c>
      <c r="G47">
        <f>AVERAGE(G3:G46)</f>
        <v>24.849999999999998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0DFA-6C31-4504-893A-0C336D684478}">
  <dimension ref="A1:M47"/>
  <sheetViews>
    <sheetView topLeftCell="A20" workbookViewId="0">
      <selection activeCell="O33" sqref="O33"/>
    </sheetView>
  </sheetViews>
  <sheetFormatPr defaultRowHeight="13.2" x14ac:dyDescent="0.25"/>
  <cols>
    <col min="9" max="9" width="19.5546875" customWidth="1"/>
    <col min="10" max="10" width="17.21875" customWidth="1"/>
  </cols>
  <sheetData>
    <row r="1" spans="2:13" x14ac:dyDescent="0.25">
      <c r="B1" t="s">
        <v>49</v>
      </c>
      <c r="I1" t="s">
        <v>50</v>
      </c>
    </row>
    <row r="2" spans="2:13" x14ac:dyDescent="0.25">
      <c r="B2" t="str">
        <f>'RAWDATA SORTED BY_EYEglasses'!O2</f>
        <v>1M</v>
      </c>
      <c r="C2" t="str">
        <f>'RAWDATA SORTED BY_EYEglasses'!P2</f>
        <v>2M</v>
      </c>
      <c r="D2" t="str">
        <f>'RAWDATA SORTED BY_EYEglasses'!Q2</f>
        <v>3M</v>
      </c>
      <c r="E2" t="str">
        <f>'RAWDATA SORTED BY_EYEglasses'!R2</f>
        <v>4M</v>
      </c>
      <c r="F2" t="str">
        <f>'RAWDATA SORTED BY_EYEglasses'!S2</f>
        <v>5M</v>
      </c>
      <c r="I2" t="str">
        <f>B2</f>
        <v>1M</v>
      </c>
      <c r="J2" t="str">
        <f>C2</f>
        <v>2M</v>
      </c>
      <c r="K2" t="str">
        <f>D2</f>
        <v>3M</v>
      </c>
      <c r="L2" t="str">
        <f>E2</f>
        <v>4M</v>
      </c>
      <c r="M2" t="str">
        <f>F2</f>
        <v>5M</v>
      </c>
    </row>
    <row r="3" spans="2:13" x14ac:dyDescent="0.25">
      <c r="B3">
        <f>'RAWDATA SORTED BY_EYEglasses'!O3</f>
        <v>29.5</v>
      </c>
      <c r="C3">
        <f>'RAWDATA SORTED BY_EYEglasses'!P3</f>
        <v>27</v>
      </c>
      <c r="D3">
        <f>'RAWDATA SORTED BY_EYEglasses'!Q3</f>
        <v>26</v>
      </c>
      <c r="E3">
        <f>'RAWDATA SORTED BY_EYEglasses'!R3</f>
        <v>23</v>
      </c>
      <c r="F3">
        <f>'RAWDATA SORTED BY_EYEglasses'!S3</f>
        <v>21.7</v>
      </c>
      <c r="I3">
        <f>'RAWDATA SORTED BY_EYEglasses'!O47</f>
        <v>30</v>
      </c>
      <c r="J3">
        <f>'RAWDATA SORTED BY_EYEglasses'!P47</f>
        <v>28.7</v>
      </c>
      <c r="K3">
        <f>'RAWDATA SORTED BY_EYEglasses'!Q47</f>
        <v>25.7</v>
      </c>
      <c r="L3">
        <f>'RAWDATA SORTED BY_EYEglasses'!R47</f>
        <v>23.5</v>
      </c>
      <c r="M3">
        <f>'RAWDATA SORTED BY_EYEglasses'!S47</f>
        <v>22.5</v>
      </c>
    </row>
    <row r="4" spans="2:13" x14ac:dyDescent="0.25">
      <c r="B4">
        <f>'RAWDATA SORTED BY_EYEglasses'!O4</f>
        <v>30</v>
      </c>
      <c r="C4">
        <f>'RAWDATA SORTED BY_EYEglasses'!P4</f>
        <v>28.5</v>
      </c>
      <c r="D4">
        <f>'RAWDATA SORTED BY_EYEglasses'!Q4</f>
        <v>26.5</v>
      </c>
      <c r="E4">
        <f>'RAWDATA SORTED BY_EYEglasses'!R4</f>
        <v>24.5</v>
      </c>
      <c r="F4">
        <f>'RAWDATA SORTED BY_EYEglasses'!S4</f>
        <v>22.5</v>
      </c>
      <c r="I4">
        <f>'RAWDATA SORTED BY_EYEglasses'!O48</f>
        <v>32</v>
      </c>
      <c r="J4">
        <f>'RAWDATA SORTED BY_EYEglasses'!P48</f>
        <v>30</v>
      </c>
      <c r="K4">
        <f>'RAWDATA SORTED BY_EYEglasses'!Q48</f>
        <v>26</v>
      </c>
      <c r="L4">
        <f>'RAWDATA SORTED BY_EYEglasses'!R48</f>
        <v>24</v>
      </c>
      <c r="M4">
        <f>'RAWDATA SORTED BY_EYEglasses'!S48</f>
        <v>22.5</v>
      </c>
    </row>
    <row r="5" spans="2:13" x14ac:dyDescent="0.25">
      <c r="B5">
        <f>'RAWDATA SORTED BY_EYEglasses'!O5</f>
        <v>31.5</v>
      </c>
      <c r="C5">
        <f>'RAWDATA SORTED BY_EYEglasses'!P5</f>
        <v>31</v>
      </c>
      <c r="D5">
        <f>'RAWDATA SORTED BY_EYEglasses'!Q5</f>
        <v>26.5</v>
      </c>
      <c r="E5">
        <f>'RAWDATA SORTED BY_EYEglasses'!R5</f>
        <v>24.5</v>
      </c>
      <c r="F5">
        <f>'RAWDATA SORTED BY_EYEglasses'!S5</f>
        <v>23</v>
      </c>
      <c r="I5">
        <f>'RAWDATA SORTED BY_EYEglasses'!O49</f>
        <v>30</v>
      </c>
      <c r="J5">
        <f>'RAWDATA SORTED BY_EYEglasses'!P49</f>
        <v>27</v>
      </c>
      <c r="K5">
        <f>'RAWDATA SORTED BY_EYEglasses'!Q49</f>
        <v>25</v>
      </c>
      <c r="L5">
        <f>'RAWDATA SORTED BY_EYEglasses'!R49</f>
        <v>23</v>
      </c>
      <c r="M5">
        <f>'RAWDATA SORTED BY_EYEglasses'!S49</f>
        <v>22</v>
      </c>
    </row>
    <row r="6" spans="2:13" x14ac:dyDescent="0.25">
      <c r="B6">
        <f>'RAWDATA SORTED BY_EYEglasses'!O6</f>
        <v>30.5</v>
      </c>
      <c r="C6">
        <f>'RAWDATA SORTED BY_EYEglasses'!P6</f>
        <v>28</v>
      </c>
      <c r="D6">
        <f>'RAWDATA SORTED BY_EYEglasses'!Q6</f>
        <v>25.5</v>
      </c>
      <c r="E6">
        <f>'RAWDATA SORTED BY_EYEglasses'!R6</f>
        <v>23</v>
      </c>
      <c r="F6">
        <f>'RAWDATA SORTED BY_EYEglasses'!S6</f>
        <v>21.5</v>
      </c>
      <c r="I6">
        <f>'RAWDATA SORTED BY_EYEglasses'!O50</f>
        <v>30.1</v>
      </c>
      <c r="J6">
        <f>'RAWDATA SORTED BY_EYEglasses'!P50</f>
        <v>27.5</v>
      </c>
      <c r="K6">
        <f>'RAWDATA SORTED BY_EYEglasses'!Q50</f>
        <v>25.8</v>
      </c>
      <c r="L6">
        <f>'RAWDATA SORTED BY_EYEglasses'!R50</f>
        <v>24.4</v>
      </c>
      <c r="M6">
        <f>'RAWDATA SORTED BY_EYEglasses'!S50</f>
        <v>23</v>
      </c>
    </row>
    <row r="7" spans="2:13" x14ac:dyDescent="0.25">
      <c r="B7">
        <f>'RAWDATA SORTED BY_EYEglasses'!O7</f>
        <v>30</v>
      </c>
      <c r="C7">
        <f>'RAWDATA SORTED BY_EYEglasses'!P7</f>
        <v>26.7</v>
      </c>
      <c r="D7">
        <f>'RAWDATA SORTED BY_EYEglasses'!Q7</f>
        <v>25.8</v>
      </c>
      <c r="E7">
        <f>'RAWDATA SORTED BY_EYEglasses'!R7</f>
        <v>25</v>
      </c>
      <c r="F7">
        <f>'RAWDATA SORTED BY_EYEglasses'!S7</f>
        <v>23</v>
      </c>
      <c r="I7">
        <f>'RAWDATA SORTED BY_EYEglasses'!O51</f>
        <v>29</v>
      </c>
      <c r="J7">
        <f>'RAWDATA SORTED BY_EYEglasses'!P51</f>
        <v>26</v>
      </c>
      <c r="K7">
        <f>'RAWDATA SORTED BY_EYEglasses'!Q51</f>
        <v>23.4</v>
      </c>
      <c r="L7">
        <f>'RAWDATA SORTED BY_EYEglasses'!R51</f>
        <v>21.9</v>
      </c>
      <c r="M7">
        <f>'RAWDATA SORTED BY_EYEglasses'!S51</f>
        <v>20.5</v>
      </c>
    </row>
    <row r="8" spans="2:13" x14ac:dyDescent="0.25">
      <c r="B8">
        <f>'RAWDATA SORTED BY_EYEglasses'!O8</f>
        <v>30.1</v>
      </c>
      <c r="C8">
        <f>'RAWDATA SORTED BY_EYEglasses'!P8</f>
        <v>28</v>
      </c>
      <c r="D8">
        <f>'RAWDATA SORTED BY_EYEglasses'!Q8</f>
        <v>26</v>
      </c>
      <c r="E8">
        <f>'RAWDATA SORTED BY_EYEglasses'!R8</f>
        <v>24</v>
      </c>
      <c r="F8">
        <f>'RAWDATA SORTED BY_EYEglasses'!S8</f>
        <v>24</v>
      </c>
      <c r="I8">
        <f>'RAWDATA SORTED BY_EYEglasses'!O52</f>
        <v>29.1</v>
      </c>
      <c r="J8">
        <f>'RAWDATA SORTED BY_EYEglasses'!P52</f>
        <v>27.5</v>
      </c>
      <c r="K8">
        <f>'RAWDATA SORTED BY_EYEglasses'!Q52</f>
        <v>25.8</v>
      </c>
      <c r="L8">
        <f>'RAWDATA SORTED BY_EYEglasses'!R52</f>
        <v>24</v>
      </c>
      <c r="M8">
        <f>'RAWDATA SORTED BY_EYEglasses'!S52</f>
        <v>22.2</v>
      </c>
    </row>
    <row r="9" spans="2:13" x14ac:dyDescent="0.25">
      <c r="B9">
        <f>'RAWDATA SORTED BY_EYEglasses'!O9</f>
        <v>29.1</v>
      </c>
      <c r="C9">
        <f>'RAWDATA SORTED BY_EYEglasses'!P9</f>
        <v>28.2</v>
      </c>
      <c r="D9">
        <f>'RAWDATA SORTED BY_EYEglasses'!Q9</f>
        <v>25.6</v>
      </c>
      <c r="E9">
        <f>'RAWDATA SORTED BY_EYEglasses'!R9</f>
        <v>24.6</v>
      </c>
      <c r="F9">
        <f>'RAWDATA SORTED BY_EYEglasses'!S9</f>
        <v>23.5</v>
      </c>
      <c r="I9">
        <f>'RAWDATA SORTED BY_EYEglasses'!O53</f>
        <v>30</v>
      </c>
      <c r="J9">
        <f>'RAWDATA SORTED BY_EYEglasses'!P53</f>
        <v>28.2</v>
      </c>
      <c r="K9">
        <f>'RAWDATA SORTED BY_EYEglasses'!Q53</f>
        <v>27</v>
      </c>
      <c r="L9">
        <f>'RAWDATA SORTED BY_EYEglasses'!R53</f>
        <v>24</v>
      </c>
      <c r="M9">
        <f>'RAWDATA SORTED BY_EYEglasses'!S53</f>
        <v>20.5</v>
      </c>
    </row>
    <row r="10" spans="2:13" x14ac:dyDescent="0.25">
      <c r="B10">
        <f>'RAWDATA SORTED BY_EYEglasses'!O10</f>
        <v>29.5</v>
      </c>
      <c r="C10">
        <f>'RAWDATA SORTED BY_EYEglasses'!P10</f>
        <v>26.5</v>
      </c>
      <c r="D10">
        <f>'RAWDATA SORTED BY_EYEglasses'!Q10</f>
        <v>25.5</v>
      </c>
      <c r="E10">
        <f>'RAWDATA SORTED BY_EYEglasses'!R10</f>
        <v>23.2</v>
      </c>
      <c r="F10">
        <f>'RAWDATA SORTED BY_EYEglasses'!S10</f>
        <v>20.5</v>
      </c>
      <c r="I10">
        <f>'RAWDATA SORTED BY_EYEglasses'!O54</f>
        <v>30.5</v>
      </c>
      <c r="J10">
        <f>'RAWDATA SORTED BY_EYEglasses'!P54</f>
        <v>27.8</v>
      </c>
      <c r="K10">
        <f>'RAWDATA SORTED BY_EYEglasses'!Q54</f>
        <v>24</v>
      </c>
      <c r="L10">
        <f>'RAWDATA SORTED BY_EYEglasses'!R54</f>
        <v>22</v>
      </c>
      <c r="M10">
        <f>'RAWDATA SORTED BY_EYEglasses'!S54</f>
        <v>21</v>
      </c>
    </row>
    <row r="11" spans="2:13" x14ac:dyDescent="0.25">
      <c r="B11">
        <f>'RAWDATA SORTED BY_EYEglasses'!O11</f>
        <v>29.3</v>
      </c>
      <c r="C11">
        <f>'RAWDATA SORTED BY_EYEglasses'!P11</f>
        <v>28.1</v>
      </c>
      <c r="D11">
        <f>'RAWDATA SORTED BY_EYEglasses'!Q11</f>
        <v>26.5</v>
      </c>
      <c r="E11">
        <f>'RAWDATA SORTED BY_EYEglasses'!R11</f>
        <v>25.2</v>
      </c>
      <c r="F11">
        <f>'RAWDATA SORTED BY_EYEglasses'!S11</f>
        <v>23.7</v>
      </c>
      <c r="I11">
        <f>'RAWDATA SORTED BY_EYEglasses'!O55</f>
        <v>29.2</v>
      </c>
      <c r="J11">
        <f>'RAWDATA SORTED BY_EYEglasses'!P55</f>
        <v>25.5</v>
      </c>
      <c r="K11">
        <f>'RAWDATA SORTED BY_EYEglasses'!Q55</f>
        <v>26.6</v>
      </c>
      <c r="L11">
        <f>'RAWDATA SORTED BY_EYEglasses'!R55</f>
        <v>23.3</v>
      </c>
      <c r="M11">
        <f>'RAWDATA SORTED BY_EYEglasses'!S55</f>
        <v>21.5</v>
      </c>
    </row>
    <row r="12" spans="2:13" x14ac:dyDescent="0.25">
      <c r="B12">
        <f>'RAWDATA SORTED BY_EYEglasses'!O12</f>
        <v>31.5</v>
      </c>
      <c r="C12">
        <f>'RAWDATA SORTED BY_EYEglasses'!P12</f>
        <v>28.5</v>
      </c>
      <c r="D12">
        <f>'RAWDATA SORTED BY_EYEglasses'!Q12</f>
        <v>28</v>
      </c>
      <c r="E12">
        <f>'RAWDATA SORTED BY_EYEglasses'!R12</f>
        <v>25</v>
      </c>
      <c r="F12">
        <f>'RAWDATA SORTED BY_EYEglasses'!S12</f>
        <v>20.8</v>
      </c>
      <c r="I12">
        <f>'RAWDATA SORTED BY_EYEglasses'!O56</f>
        <v>29</v>
      </c>
      <c r="J12">
        <f>'RAWDATA SORTED BY_EYEglasses'!P56</f>
        <v>27.9</v>
      </c>
      <c r="K12">
        <f>'RAWDATA SORTED BY_EYEglasses'!Q56</f>
        <v>26.2</v>
      </c>
      <c r="L12">
        <f>'RAWDATA SORTED BY_EYEglasses'!R56</f>
        <v>24.2</v>
      </c>
      <c r="M12">
        <f>'RAWDATA SORTED BY_EYEglasses'!S56</f>
        <v>22</v>
      </c>
    </row>
    <row r="13" spans="2:13" x14ac:dyDescent="0.25">
      <c r="B13">
        <f>'RAWDATA SORTED BY_EYEglasses'!O13</f>
        <v>30.5</v>
      </c>
      <c r="C13">
        <f>'RAWDATA SORTED BY_EYEglasses'!P13</f>
        <v>28.5</v>
      </c>
      <c r="D13">
        <f>'RAWDATA SORTED BY_EYEglasses'!Q13</f>
        <v>24.5</v>
      </c>
      <c r="E13">
        <f>'RAWDATA SORTED BY_EYEglasses'!R13</f>
        <v>22.5</v>
      </c>
      <c r="F13">
        <f>'RAWDATA SORTED BY_EYEglasses'!S13</f>
        <v>22</v>
      </c>
      <c r="I13">
        <f>'RAWDATA SORTED BY_EYEglasses'!O57</f>
        <v>30</v>
      </c>
      <c r="J13">
        <f>'RAWDATA SORTED BY_EYEglasses'!P57</f>
        <v>28.5</v>
      </c>
      <c r="K13">
        <f>'RAWDATA SORTED BY_EYEglasses'!Q57</f>
        <v>26.8</v>
      </c>
      <c r="L13">
        <f>'RAWDATA SORTED BY_EYEglasses'!R57</f>
        <v>24.8</v>
      </c>
      <c r="M13">
        <f>'RAWDATA SORTED BY_EYEglasses'!S57</f>
        <v>22</v>
      </c>
    </row>
    <row r="14" spans="2:13" x14ac:dyDescent="0.25">
      <c r="B14">
        <f>'RAWDATA SORTED BY_EYEglasses'!O14</f>
        <v>30</v>
      </c>
      <c r="C14">
        <f>'RAWDATA SORTED BY_EYEglasses'!P14</f>
        <v>28.5</v>
      </c>
      <c r="D14">
        <f>'RAWDATA SORTED BY_EYEglasses'!Q14</f>
        <v>26</v>
      </c>
      <c r="E14">
        <f>'RAWDATA SORTED BY_EYEglasses'!R14</f>
        <v>24.7</v>
      </c>
      <c r="F14">
        <f>'RAWDATA SORTED BY_EYEglasses'!S14</f>
        <v>23</v>
      </c>
      <c r="I14">
        <f>'RAWDATA SORTED BY_EYEglasses'!O58</f>
        <v>30.5</v>
      </c>
      <c r="J14">
        <f>'RAWDATA SORTED BY_EYEglasses'!P58</f>
        <v>28.5</v>
      </c>
      <c r="K14">
        <f>'RAWDATA SORTED BY_EYEglasses'!Q58</f>
        <v>26.5</v>
      </c>
      <c r="L14">
        <f>'RAWDATA SORTED BY_EYEglasses'!R58</f>
        <v>24</v>
      </c>
      <c r="M14">
        <f>'RAWDATA SORTED BY_EYEglasses'!S58</f>
        <v>22.2</v>
      </c>
    </row>
    <row r="15" spans="2:13" x14ac:dyDescent="0.25">
      <c r="B15">
        <f>'RAWDATA SORTED BY_EYEglasses'!O15</f>
        <v>30</v>
      </c>
      <c r="C15">
        <f>'RAWDATA SORTED BY_EYEglasses'!P15</f>
        <v>27.4</v>
      </c>
      <c r="D15">
        <f>'RAWDATA SORTED BY_EYEglasses'!Q15</f>
        <v>25</v>
      </c>
      <c r="E15">
        <f>'RAWDATA SORTED BY_EYEglasses'!R15</f>
        <v>24.3</v>
      </c>
      <c r="F15">
        <f>'RAWDATA SORTED BY_EYEglasses'!S15</f>
        <v>22</v>
      </c>
      <c r="I15">
        <f>'RAWDATA SORTED BY_EYEglasses'!O59</f>
        <v>29.5</v>
      </c>
      <c r="J15">
        <f>'RAWDATA SORTED BY_EYEglasses'!P59</f>
        <v>28</v>
      </c>
      <c r="K15">
        <f>'RAWDATA SORTED BY_EYEglasses'!Q59</f>
        <v>26.5</v>
      </c>
      <c r="L15">
        <f>'RAWDATA SORTED BY_EYEglasses'!R59</f>
        <v>25</v>
      </c>
      <c r="M15">
        <f>'RAWDATA SORTED BY_EYEglasses'!S59</f>
        <v>24.2</v>
      </c>
    </row>
    <row r="16" spans="2:13" x14ac:dyDescent="0.25">
      <c r="B16">
        <f>'RAWDATA SORTED BY_EYEglasses'!O16</f>
        <v>29.3</v>
      </c>
      <c r="C16">
        <f>'RAWDATA SORTED BY_EYEglasses'!P16</f>
        <v>25.5</v>
      </c>
      <c r="D16">
        <f>'RAWDATA SORTED BY_EYEglasses'!Q16</f>
        <v>26.5</v>
      </c>
      <c r="E16">
        <f>'RAWDATA SORTED BY_EYEglasses'!R16</f>
        <v>22</v>
      </c>
      <c r="F16">
        <f>'RAWDATA SORTED BY_EYEglasses'!S16</f>
        <v>23.3</v>
      </c>
      <c r="I16">
        <f>'RAWDATA SORTED BY_EYEglasses'!O60</f>
        <v>29.3</v>
      </c>
      <c r="J16">
        <f>'RAWDATA SORTED BY_EYEglasses'!P60</f>
        <v>28.6</v>
      </c>
      <c r="K16">
        <f>'RAWDATA SORTED BY_EYEglasses'!Q60</f>
        <v>27.3</v>
      </c>
      <c r="L16">
        <f>'RAWDATA SORTED BY_EYEglasses'!R60</f>
        <v>26.6</v>
      </c>
      <c r="M16">
        <f>'RAWDATA SORTED BY_EYEglasses'!S60</f>
        <v>24</v>
      </c>
    </row>
    <row r="17" spans="2:13" x14ac:dyDescent="0.25">
      <c r="B17">
        <f>'RAWDATA SORTED BY_EYEglasses'!O17</f>
        <v>30</v>
      </c>
      <c r="C17">
        <f>'RAWDATA SORTED BY_EYEglasses'!P17</f>
        <v>27.1</v>
      </c>
      <c r="D17">
        <f>'RAWDATA SORTED BY_EYEglasses'!Q17</f>
        <v>24.5</v>
      </c>
      <c r="E17">
        <f>'RAWDATA SORTED BY_EYEglasses'!R17</f>
        <v>23</v>
      </c>
      <c r="F17">
        <f>'RAWDATA SORTED BY_EYEglasses'!S17</f>
        <v>22.3</v>
      </c>
      <c r="I17">
        <f>'RAWDATA SORTED BY_EYEglasses'!O61</f>
        <v>30</v>
      </c>
      <c r="J17">
        <f>'RAWDATA SORTED BY_EYEglasses'!P61</f>
        <v>29</v>
      </c>
      <c r="K17">
        <f>'RAWDATA SORTED BY_EYEglasses'!Q61</f>
        <v>28.5</v>
      </c>
      <c r="L17">
        <f>'RAWDATA SORTED BY_EYEglasses'!R61</f>
        <v>27.4</v>
      </c>
      <c r="M17">
        <f>'RAWDATA SORTED BY_EYEglasses'!S61</f>
        <v>25.2</v>
      </c>
    </row>
    <row r="18" spans="2:13" x14ac:dyDescent="0.25">
      <c r="B18">
        <f>'RAWDATA SORTED BY_EYEglasses'!O18</f>
        <v>29.6</v>
      </c>
      <c r="C18">
        <f>'RAWDATA SORTED BY_EYEglasses'!P18</f>
        <v>27.7</v>
      </c>
      <c r="D18">
        <f>'RAWDATA SORTED BY_EYEglasses'!Q18</f>
        <v>26.9</v>
      </c>
      <c r="E18">
        <f>'RAWDATA SORTED BY_EYEglasses'!R18</f>
        <v>26.6</v>
      </c>
      <c r="F18">
        <f>'RAWDATA SORTED BY_EYEglasses'!S18</f>
        <v>23.7</v>
      </c>
      <c r="I18">
        <f>'RAWDATA SORTED BY_EYEglasses'!O62</f>
        <v>31</v>
      </c>
      <c r="J18">
        <f>'RAWDATA SORTED BY_EYEglasses'!P62</f>
        <v>30.7</v>
      </c>
      <c r="K18">
        <f>'RAWDATA SORTED BY_EYEglasses'!Q62</f>
        <v>28</v>
      </c>
      <c r="L18">
        <f>'RAWDATA SORTED BY_EYEglasses'!R62</f>
        <v>27</v>
      </c>
      <c r="M18">
        <f>'RAWDATA SORTED BY_EYEglasses'!S62</f>
        <v>26</v>
      </c>
    </row>
    <row r="19" spans="2:13" x14ac:dyDescent="0.25">
      <c r="B19">
        <f>'RAWDATA SORTED BY_EYEglasses'!O19</f>
        <v>28.6</v>
      </c>
      <c r="C19">
        <f>'RAWDATA SORTED BY_EYEglasses'!P19</f>
        <v>27</v>
      </c>
      <c r="D19">
        <f>'RAWDATA SORTED BY_EYEglasses'!Q19</f>
        <v>24.8</v>
      </c>
      <c r="E19">
        <f>'RAWDATA SORTED BY_EYEglasses'!R19</f>
        <v>23.8</v>
      </c>
      <c r="F19">
        <f>'RAWDATA SORTED BY_EYEglasses'!S19</f>
        <v>22.5</v>
      </c>
      <c r="I19">
        <f>'RAWDATA SORTED BY_EYEglasses'!O63</f>
        <v>32</v>
      </c>
      <c r="J19">
        <f>'RAWDATA SORTED BY_EYEglasses'!P63</f>
        <v>30.8</v>
      </c>
      <c r="K19">
        <f>'RAWDATA SORTED BY_EYEglasses'!Q63</f>
        <v>28.3</v>
      </c>
      <c r="L19">
        <f>'RAWDATA SORTED BY_EYEglasses'!R63</f>
        <v>27.5</v>
      </c>
      <c r="M19">
        <f>'RAWDATA SORTED BY_EYEglasses'!S63</f>
        <v>26</v>
      </c>
    </row>
    <row r="20" spans="2:13" x14ac:dyDescent="0.25">
      <c r="B20">
        <f>'RAWDATA SORTED BY_EYEglasses'!O20</f>
        <v>29.5</v>
      </c>
      <c r="C20">
        <f>'RAWDATA SORTED BY_EYEglasses'!P20</f>
        <v>28.4</v>
      </c>
      <c r="D20">
        <f>'RAWDATA SORTED BY_EYEglasses'!Q20</f>
        <v>27.5</v>
      </c>
      <c r="E20">
        <f>'RAWDATA SORTED BY_EYEglasses'!R20</f>
        <v>25.7</v>
      </c>
      <c r="F20">
        <f>'RAWDATA SORTED BY_EYEglasses'!S20</f>
        <v>22.4</v>
      </c>
      <c r="I20">
        <f>'RAWDATA SORTED BY_EYEglasses'!O64</f>
        <v>30.9</v>
      </c>
      <c r="J20">
        <f>'RAWDATA SORTED BY_EYEglasses'!P64</f>
        <v>30.2</v>
      </c>
      <c r="K20">
        <f>'RAWDATA SORTED BY_EYEglasses'!Q64</f>
        <v>29</v>
      </c>
      <c r="L20">
        <f>'RAWDATA SORTED BY_EYEglasses'!R64</f>
        <v>28.8</v>
      </c>
      <c r="M20">
        <f>'RAWDATA SORTED BY_EYEglasses'!S64</f>
        <v>26</v>
      </c>
    </row>
    <row r="21" spans="2:13" x14ac:dyDescent="0.25">
      <c r="B21">
        <f>'RAWDATA SORTED BY_EYEglasses'!O21</f>
        <v>30.5</v>
      </c>
      <c r="C21">
        <f>'RAWDATA SORTED BY_EYEglasses'!P21</f>
        <v>29</v>
      </c>
      <c r="D21">
        <f>'RAWDATA SORTED BY_EYEglasses'!Q21</f>
        <v>27</v>
      </c>
      <c r="E21">
        <f>'RAWDATA SORTED BY_EYEglasses'!R21</f>
        <v>25.2</v>
      </c>
      <c r="F21">
        <f>'RAWDATA SORTED BY_EYEglasses'!S21</f>
        <v>22.4</v>
      </c>
      <c r="I21">
        <f>'RAWDATA SORTED BY_EYEglasses'!O65</f>
        <v>31.5</v>
      </c>
      <c r="J21">
        <f>'RAWDATA SORTED BY_EYEglasses'!P65</f>
        <v>30.8</v>
      </c>
      <c r="K21">
        <f>'RAWDATA SORTED BY_EYEglasses'!Q65</f>
        <v>29.3</v>
      </c>
      <c r="L21">
        <f>'RAWDATA SORTED BY_EYEglasses'!R65</f>
        <v>27</v>
      </c>
      <c r="M21">
        <f>'RAWDATA SORTED BY_EYEglasses'!S65</f>
        <v>25.5</v>
      </c>
    </row>
    <row r="22" spans="2:13" x14ac:dyDescent="0.25">
      <c r="B22">
        <f>'RAWDATA SORTED BY_EYEglasses'!O22</f>
        <v>30.8</v>
      </c>
      <c r="C22">
        <f>'RAWDATA SORTED BY_EYEglasses'!P22</f>
        <v>28.8</v>
      </c>
      <c r="D22">
        <f>'RAWDATA SORTED BY_EYEglasses'!Q22</f>
        <v>26.8</v>
      </c>
      <c r="E22">
        <f>'RAWDATA SORTED BY_EYEglasses'!R22</f>
        <v>24.2</v>
      </c>
      <c r="F22">
        <f>'RAWDATA SORTED BY_EYEglasses'!S22</f>
        <v>22.5</v>
      </c>
      <c r="I22">
        <f>'RAWDATA SORTED BY_EYEglasses'!O66</f>
        <v>31</v>
      </c>
      <c r="J22">
        <f>'RAWDATA SORTED BY_EYEglasses'!P66</f>
        <v>29.7</v>
      </c>
      <c r="K22">
        <f>'RAWDATA SORTED BY_EYEglasses'!Q66</f>
        <v>28</v>
      </c>
      <c r="L22">
        <f>'RAWDATA SORTED BY_EYEglasses'!R66</f>
        <v>27</v>
      </c>
      <c r="M22">
        <f>'RAWDATA SORTED BY_EYEglasses'!S66</f>
        <v>26.8</v>
      </c>
    </row>
    <row r="23" spans="2:13" x14ac:dyDescent="0.25">
      <c r="B23">
        <f>'RAWDATA SORTED BY_EYEglasses'!O23</f>
        <v>29.8</v>
      </c>
      <c r="C23">
        <f>'RAWDATA SORTED BY_EYEglasses'!P23</f>
        <v>28.2</v>
      </c>
      <c r="D23">
        <f>'RAWDATA SORTED BY_EYEglasses'!Q23</f>
        <v>27.2</v>
      </c>
      <c r="E23">
        <f>'RAWDATA SORTED BY_EYEglasses'!R23</f>
        <v>26</v>
      </c>
      <c r="F23">
        <f>'RAWDATA SORTED BY_EYEglasses'!S23</f>
        <v>24.5</v>
      </c>
      <c r="I23">
        <f>'RAWDATA SORTED BY_EYEglasses'!O67</f>
        <v>31</v>
      </c>
      <c r="J23">
        <f>'RAWDATA SORTED BY_EYEglasses'!P67</f>
        <v>29</v>
      </c>
      <c r="K23">
        <f>'RAWDATA SORTED BY_EYEglasses'!Q67</f>
        <v>28.5</v>
      </c>
      <c r="L23">
        <f>'RAWDATA SORTED BY_EYEglasses'!R67</f>
        <v>27</v>
      </c>
      <c r="M23">
        <f>'RAWDATA SORTED BY_EYEglasses'!S67</f>
        <v>26</v>
      </c>
    </row>
    <row r="24" spans="2:13" x14ac:dyDescent="0.25">
      <c r="B24">
        <f>'RAWDATA SORTED BY_EYEglasses'!O24</f>
        <v>30.2</v>
      </c>
      <c r="C24">
        <f>'RAWDATA SORTED BY_EYEglasses'!P24</f>
        <v>28</v>
      </c>
      <c r="D24">
        <f>'RAWDATA SORTED BY_EYEglasses'!Q24</f>
        <v>27.2</v>
      </c>
      <c r="E24">
        <f>'RAWDATA SORTED BY_EYEglasses'!R24</f>
        <v>25.2</v>
      </c>
      <c r="F24">
        <f>'RAWDATA SORTED BY_EYEglasses'!S24</f>
        <v>24.1</v>
      </c>
      <c r="I24">
        <f>'RAWDATA SORTED BY_EYEglasses'!O68</f>
        <v>30.5</v>
      </c>
      <c r="J24">
        <f>'RAWDATA SORTED BY_EYEglasses'!P68</f>
        <v>29.9</v>
      </c>
      <c r="K24">
        <f>'RAWDATA SORTED BY_EYEglasses'!Q68</f>
        <v>29</v>
      </c>
      <c r="L24">
        <f>'RAWDATA SORTED BY_EYEglasses'!R68</f>
        <v>28</v>
      </c>
      <c r="M24">
        <f>'RAWDATA SORTED BY_EYEglasses'!S68</f>
        <v>27</v>
      </c>
    </row>
    <row r="25" spans="2:13" x14ac:dyDescent="0.25">
      <c r="B25">
        <f>'RAWDATA SORTED BY_EYEglasses'!O25</f>
        <v>29.7</v>
      </c>
      <c r="C25">
        <f>'RAWDATA SORTED BY_EYEglasses'!P25</f>
        <v>27.2</v>
      </c>
      <c r="D25">
        <f>'RAWDATA SORTED BY_EYEglasses'!Q25</f>
        <v>26.2</v>
      </c>
      <c r="E25">
        <f>'RAWDATA SORTED BY_EYEglasses'!R25</f>
        <v>24.7</v>
      </c>
      <c r="F25">
        <f>'RAWDATA SORTED BY_EYEglasses'!S25</f>
        <v>23</v>
      </c>
      <c r="I25">
        <f>'RAWDATA SORTED BY_EYEglasses'!O69</f>
        <v>31</v>
      </c>
      <c r="J25">
        <f>'RAWDATA SORTED BY_EYEglasses'!P69</f>
        <v>30.2</v>
      </c>
      <c r="K25">
        <f>'RAWDATA SORTED BY_EYEglasses'!Q69</f>
        <v>29</v>
      </c>
      <c r="L25">
        <f>'RAWDATA SORTED BY_EYEglasses'!R69</f>
        <v>28.3</v>
      </c>
      <c r="M25">
        <f>'RAWDATA SORTED BY_EYEglasses'!S69</f>
        <v>27</v>
      </c>
    </row>
    <row r="26" spans="2:13" x14ac:dyDescent="0.25">
      <c r="B26">
        <f>'RAWDATA SORTED BY_EYEglasses'!O26</f>
        <v>30.5</v>
      </c>
      <c r="C26">
        <f>'RAWDATA SORTED BY_EYEglasses'!P26</f>
        <v>29</v>
      </c>
      <c r="D26">
        <f>'RAWDATA SORTED BY_EYEglasses'!Q26</f>
        <v>27</v>
      </c>
      <c r="E26">
        <f>'RAWDATA SORTED BY_EYEglasses'!R26</f>
        <v>26.1</v>
      </c>
      <c r="F26">
        <f>'RAWDATA SORTED BY_EYEglasses'!S26</f>
        <v>24</v>
      </c>
      <c r="I26">
        <f>'RAWDATA SORTED BY_EYEglasses'!O70</f>
        <v>29.2</v>
      </c>
      <c r="J26">
        <f>'RAWDATA SORTED BY_EYEglasses'!P70</f>
        <v>27.7</v>
      </c>
      <c r="K26">
        <f>'RAWDATA SORTED BY_EYEglasses'!Q70</f>
        <v>26.2</v>
      </c>
      <c r="L26">
        <f>'RAWDATA SORTED BY_EYEglasses'!R70</f>
        <v>24.1</v>
      </c>
      <c r="M26">
        <f>'RAWDATA SORTED BY_EYEglasses'!S70</f>
        <v>23.9</v>
      </c>
    </row>
    <row r="27" spans="2:13" x14ac:dyDescent="0.25">
      <c r="B27">
        <f>'RAWDATA SORTED BY_EYEglasses'!O27</f>
        <v>30.5</v>
      </c>
      <c r="C27">
        <f>'RAWDATA SORTED BY_EYEglasses'!P27</f>
        <v>28.2</v>
      </c>
      <c r="D27">
        <f>'RAWDATA SORTED BY_EYEglasses'!Q27</f>
        <v>27.6</v>
      </c>
      <c r="E27">
        <f>'RAWDATA SORTED BY_EYEglasses'!R27</f>
        <v>26.6</v>
      </c>
      <c r="F27">
        <f>'RAWDATA SORTED BY_EYEglasses'!S27</f>
        <v>25</v>
      </c>
      <c r="H27" t="s">
        <v>16</v>
      </c>
      <c r="I27">
        <f>AVERAGE(I3:I26)</f>
        <v>30.262500000000003</v>
      </c>
      <c r="J27">
        <f>AVERAGE(J3:J26)</f>
        <v>28.654166666666669</v>
      </c>
      <c r="K27">
        <f>AVERAGE(K3:K26)</f>
        <v>26.933333333333337</v>
      </c>
      <c r="L27">
        <f>AVERAGE(L3:L26)</f>
        <v>25.283333333333335</v>
      </c>
      <c r="M27">
        <f>AVERAGE(M3:M26)</f>
        <v>23.729166666666661</v>
      </c>
    </row>
    <row r="28" spans="2:13" x14ac:dyDescent="0.25">
      <c r="B28">
        <f>'RAWDATA SORTED BY_EYEglasses'!O28</f>
        <v>29.8</v>
      </c>
      <c r="C28">
        <f>'RAWDATA SORTED BY_EYEglasses'!P28</f>
        <v>29</v>
      </c>
      <c r="D28">
        <f>'RAWDATA SORTED BY_EYEglasses'!Q28</f>
        <v>27.4</v>
      </c>
      <c r="E28">
        <f>'RAWDATA SORTED BY_EYEglasses'!R28</f>
        <v>26.8</v>
      </c>
      <c r="F28">
        <f>'RAWDATA SORTED BY_EYEglasses'!S28</f>
        <v>24.2</v>
      </c>
    </row>
    <row r="29" spans="2:13" x14ac:dyDescent="0.25">
      <c r="B29">
        <f>'RAWDATA SORTED BY_EYEglasses'!O29</f>
        <v>30.3</v>
      </c>
      <c r="C29">
        <f>'RAWDATA SORTED BY_EYEglasses'!P29</f>
        <v>29.2</v>
      </c>
      <c r="D29">
        <f>'RAWDATA SORTED BY_EYEglasses'!Q29</f>
        <v>28.7</v>
      </c>
      <c r="E29">
        <f>'RAWDATA SORTED BY_EYEglasses'!R29</f>
        <v>27.8</v>
      </c>
      <c r="F29">
        <f>'RAWDATA SORTED BY_EYEglasses'!S29</f>
        <v>25.5</v>
      </c>
    </row>
    <row r="30" spans="2:13" x14ac:dyDescent="0.25">
      <c r="B30">
        <f>'RAWDATA SORTED BY_EYEglasses'!O30</f>
        <v>31.5</v>
      </c>
      <c r="C30">
        <f>'RAWDATA SORTED BY_EYEglasses'!P30</f>
        <v>30.8</v>
      </c>
      <c r="D30">
        <f>'RAWDATA SORTED BY_EYEglasses'!Q30</f>
        <v>28.5</v>
      </c>
      <c r="E30">
        <f>'RAWDATA SORTED BY_EYEglasses'!R30</f>
        <v>27.5</v>
      </c>
      <c r="F30">
        <f>'RAWDATA SORTED BY_EYEglasses'!S30</f>
        <v>26.5</v>
      </c>
    </row>
    <row r="31" spans="2:13" x14ac:dyDescent="0.25">
      <c r="B31">
        <f>'RAWDATA SORTED BY_EYEglasses'!O31</f>
        <v>32</v>
      </c>
      <c r="C31">
        <f>'RAWDATA SORTED BY_EYEglasses'!P31</f>
        <v>31.2</v>
      </c>
      <c r="D31">
        <f>'RAWDATA SORTED BY_EYEglasses'!Q31</f>
        <v>28.8</v>
      </c>
      <c r="E31">
        <f>'RAWDATA SORTED BY_EYEglasses'!R31</f>
        <v>28.2</v>
      </c>
      <c r="F31">
        <f>'RAWDATA SORTED BY_EYEglasses'!S31</f>
        <v>28</v>
      </c>
      <c r="H31" s="4" t="s">
        <v>51</v>
      </c>
      <c r="I31" s="4"/>
      <c r="J31" s="4"/>
    </row>
    <row r="32" spans="2:13" x14ac:dyDescent="0.25">
      <c r="B32">
        <f>'RAWDATA SORTED BY_EYEglasses'!O32</f>
        <v>32.200000000000003</v>
      </c>
      <c r="C32">
        <f>'RAWDATA SORTED BY_EYEglasses'!P32</f>
        <v>31</v>
      </c>
      <c r="D32">
        <f>'RAWDATA SORTED BY_EYEglasses'!Q32</f>
        <v>28.5</v>
      </c>
      <c r="E32">
        <f>'RAWDATA SORTED BY_EYEglasses'!R32</f>
        <v>27.8</v>
      </c>
      <c r="F32">
        <f>'RAWDATA SORTED BY_EYEglasses'!S32</f>
        <v>26.2</v>
      </c>
      <c r="H32" s="4" t="s">
        <v>18</v>
      </c>
      <c r="I32" s="4" t="s">
        <v>55</v>
      </c>
      <c r="J32" s="4" t="s">
        <v>56</v>
      </c>
    </row>
    <row r="33" spans="1:10" x14ac:dyDescent="0.25">
      <c r="B33">
        <f>'RAWDATA SORTED BY_EYEglasses'!O33</f>
        <v>31.2</v>
      </c>
      <c r="C33">
        <f>'RAWDATA SORTED BY_EYEglasses'!P33</f>
        <v>30.4</v>
      </c>
      <c r="D33">
        <f>'RAWDATA SORTED BY_EYEglasses'!Q33</f>
        <v>30.2</v>
      </c>
      <c r="E33">
        <f>'RAWDATA SORTED BY_EYEglasses'!R33</f>
        <v>27</v>
      </c>
      <c r="F33">
        <f>'RAWDATA SORTED BY_EYEglasses'!S33</f>
        <v>26.5</v>
      </c>
      <c r="H33">
        <v>1</v>
      </c>
      <c r="I33">
        <f>I27</f>
        <v>30.262500000000003</v>
      </c>
      <c r="J33">
        <f>B47</f>
        <v>30.502272727272736</v>
      </c>
    </row>
    <row r="34" spans="1:10" x14ac:dyDescent="0.25">
      <c r="B34">
        <f>'RAWDATA SORTED BY_EYEglasses'!O34</f>
        <v>31.7</v>
      </c>
      <c r="C34">
        <f>'RAWDATA SORTED BY_EYEglasses'!P34</f>
        <v>31</v>
      </c>
      <c r="D34">
        <f>'RAWDATA SORTED BY_EYEglasses'!Q34</f>
        <v>30.1</v>
      </c>
      <c r="E34">
        <f>'RAWDATA SORTED BY_EYEglasses'!R34</f>
        <v>27.4</v>
      </c>
      <c r="F34">
        <f>'RAWDATA SORTED BY_EYEglasses'!S34</f>
        <v>26</v>
      </c>
      <c r="H34">
        <v>2</v>
      </c>
      <c r="I34">
        <f>J27</f>
        <v>28.654166666666669</v>
      </c>
      <c r="J34">
        <f>C47</f>
        <v>28.9</v>
      </c>
    </row>
    <row r="35" spans="1:10" x14ac:dyDescent="0.25">
      <c r="B35">
        <f>'RAWDATA SORTED BY_EYEglasses'!O35</f>
        <v>31.6</v>
      </c>
      <c r="C35">
        <f>'RAWDATA SORTED BY_EYEglasses'!P35</f>
        <v>30.8</v>
      </c>
      <c r="D35">
        <f>'RAWDATA SORTED BY_EYEglasses'!Q35</f>
        <v>29.7</v>
      </c>
      <c r="E35">
        <f>'RAWDATA SORTED BY_EYEglasses'!R35</f>
        <v>27</v>
      </c>
      <c r="F35">
        <f>'RAWDATA SORTED BY_EYEglasses'!S35</f>
        <v>25.7</v>
      </c>
      <c r="H35">
        <v>3</v>
      </c>
      <c r="I35">
        <f>K27</f>
        <v>26.933333333333337</v>
      </c>
      <c r="J35">
        <f>D47</f>
        <v>27.38181818181819</v>
      </c>
    </row>
    <row r="36" spans="1:10" x14ac:dyDescent="0.25">
      <c r="B36">
        <f>'RAWDATA SORTED BY_EYEglasses'!O36</f>
        <v>31.5</v>
      </c>
      <c r="C36">
        <f>'RAWDATA SORTED BY_EYEglasses'!P36</f>
        <v>30.2</v>
      </c>
      <c r="D36">
        <f>'RAWDATA SORTED BY_EYEglasses'!Q36</f>
        <v>28.5</v>
      </c>
      <c r="E36">
        <f>'RAWDATA SORTED BY_EYEglasses'!R36</f>
        <v>27.3</v>
      </c>
      <c r="F36">
        <f>'RAWDATA SORTED BY_EYEglasses'!S36</f>
        <v>26.8</v>
      </c>
      <c r="H36">
        <v>4</v>
      </c>
      <c r="I36">
        <f>L27</f>
        <v>25.283333333333335</v>
      </c>
      <c r="J36">
        <f>E47</f>
        <v>25.772727272727273</v>
      </c>
    </row>
    <row r="37" spans="1:10" x14ac:dyDescent="0.25">
      <c r="B37">
        <f>'RAWDATA SORTED BY_EYEglasses'!O37</f>
        <v>31.7</v>
      </c>
      <c r="C37">
        <f>'RAWDATA SORTED BY_EYEglasses'!P37</f>
        <v>30</v>
      </c>
      <c r="D37">
        <f>'RAWDATA SORTED BY_EYEglasses'!Q37</f>
        <v>28.5</v>
      </c>
      <c r="E37">
        <f>'RAWDATA SORTED BY_EYEglasses'!R37</f>
        <v>27.2</v>
      </c>
      <c r="F37">
        <f>'RAWDATA SORTED BY_EYEglasses'!S37</f>
        <v>26.6</v>
      </c>
      <c r="H37">
        <v>5</v>
      </c>
      <c r="I37">
        <f>M27</f>
        <v>23.729166666666661</v>
      </c>
      <c r="J37">
        <f>F47</f>
        <v>24.338636363636365</v>
      </c>
    </row>
    <row r="38" spans="1:10" x14ac:dyDescent="0.25">
      <c r="B38">
        <f>'RAWDATA SORTED BY_EYEglasses'!O38</f>
        <v>31.5</v>
      </c>
      <c r="C38">
        <f>'RAWDATA SORTED BY_EYEglasses'!P38</f>
        <v>30</v>
      </c>
      <c r="D38">
        <f>'RAWDATA SORTED BY_EYEglasses'!Q38</f>
        <v>28.8</v>
      </c>
      <c r="E38">
        <f>'RAWDATA SORTED BY_EYEglasses'!R38</f>
        <v>27</v>
      </c>
      <c r="F38">
        <f>'RAWDATA SORTED BY_EYEglasses'!S38</f>
        <v>25.9</v>
      </c>
    </row>
    <row r="39" spans="1:10" x14ac:dyDescent="0.25">
      <c r="B39">
        <f>'RAWDATA SORTED BY_EYEglasses'!O39</f>
        <v>31.2</v>
      </c>
      <c r="C39">
        <f>'RAWDATA SORTED BY_EYEglasses'!P39</f>
        <v>29.2</v>
      </c>
      <c r="D39">
        <f>'RAWDATA SORTED BY_EYEglasses'!Q39</f>
        <v>28.8</v>
      </c>
      <c r="E39">
        <f>'RAWDATA SORTED BY_EYEglasses'!R39</f>
        <v>27.7</v>
      </c>
      <c r="F39">
        <f>'RAWDATA SORTED BY_EYEglasses'!S39</f>
        <v>26.3</v>
      </c>
    </row>
    <row r="40" spans="1:10" x14ac:dyDescent="0.25">
      <c r="B40">
        <f>'RAWDATA SORTED BY_EYEglasses'!O40</f>
        <v>30.6</v>
      </c>
      <c r="C40">
        <f>'RAWDATA SORTED BY_EYEglasses'!P40</f>
        <v>30</v>
      </c>
      <c r="D40">
        <f>'RAWDATA SORTED BY_EYEglasses'!Q40</f>
        <v>29.4</v>
      </c>
      <c r="E40">
        <f>'RAWDATA SORTED BY_EYEglasses'!R40</f>
        <v>28.7</v>
      </c>
      <c r="F40">
        <f>'RAWDATA SORTED BY_EYEglasses'!S40</f>
        <v>27.2</v>
      </c>
    </row>
    <row r="41" spans="1:10" x14ac:dyDescent="0.25">
      <c r="B41">
        <f>'RAWDATA SORTED BY_EYEglasses'!O41</f>
        <v>30.8</v>
      </c>
      <c r="C41">
        <f>'RAWDATA SORTED BY_EYEglasses'!P41</f>
        <v>30.2</v>
      </c>
      <c r="D41">
        <f>'RAWDATA SORTED BY_EYEglasses'!Q41</f>
        <v>29.4</v>
      </c>
      <c r="E41">
        <f>'RAWDATA SORTED BY_EYEglasses'!R41</f>
        <v>28</v>
      </c>
      <c r="F41">
        <f>'RAWDATA SORTED BY_EYEglasses'!S41</f>
        <v>27</v>
      </c>
    </row>
    <row r="42" spans="1:10" x14ac:dyDescent="0.25">
      <c r="B42">
        <f>'RAWDATA SORTED BY_EYEglasses'!O42</f>
        <v>31.4</v>
      </c>
      <c r="C42">
        <f>'RAWDATA SORTED BY_EYEglasses'!P42</f>
        <v>30.2</v>
      </c>
      <c r="D42">
        <f>'RAWDATA SORTED BY_EYEglasses'!Q42</f>
        <v>29.2</v>
      </c>
      <c r="E42">
        <f>'RAWDATA SORTED BY_EYEglasses'!R42</f>
        <v>28.6</v>
      </c>
      <c r="F42">
        <f>'RAWDATA SORTED BY_EYEglasses'!S42</f>
        <v>27</v>
      </c>
    </row>
    <row r="43" spans="1:10" x14ac:dyDescent="0.25">
      <c r="B43">
        <f>'RAWDATA SORTED BY_EYEglasses'!O43</f>
        <v>31.2</v>
      </c>
      <c r="C43">
        <f>'RAWDATA SORTED BY_EYEglasses'!P43</f>
        <v>29.5</v>
      </c>
      <c r="D43">
        <f>'RAWDATA SORTED BY_EYEglasses'!Q43</f>
        <v>28.4</v>
      </c>
      <c r="E43">
        <f>'RAWDATA SORTED BY_EYEglasses'!R43</f>
        <v>27.3</v>
      </c>
      <c r="F43">
        <f>'RAWDATA SORTED BY_EYEglasses'!S43</f>
        <v>26.5</v>
      </c>
    </row>
    <row r="44" spans="1:10" x14ac:dyDescent="0.25">
      <c r="B44">
        <f>'RAWDATA SORTED BY_EYEglasses'!O44</f>
        <v>31.1</v>
      </c>
      <c r="C44">
        <f>'RAWDATA SORTED BY_EYEglasses'!P44</f>
        <v>30</v>
      </c>
      <c r="D44">
        <f>'RAWDATA SORTED BY_EYEglasses'!Q44</f>
        <v>29.2</v>
      </c>
      <c r="E44">
        <f>'RAWDATA SORTED BY_EYEglasses'!R44</f>
        <v>28.1</v>
      </c>
      <c r="F44">
        <f>'RAWDATA SORTED BY_EYEglasses'!S44</f>
        <v>27</v>
      </c>
    </row>
    <row r="45" spans="1:10" x14ac:dyDescent="0.25">
      <c r="B45">
        <f>'RAWDATA SORTED BY_EYEglasses'!O45</f>
        <v>31.4</v>
      </c>
      <c r="C45">
        <f>'RAWDATA SORTED BY_EYEglasses'!P45</f>
        <v>30.8</v>
      </c>
      <c r="D45">
        <f>'RAWDATA SORTED BY_EYEglasses'!Q45</f>
        <v>29.5</v>
      </c>
      <c r="E45">
        <f>'RAWDATA SORTED BY_EYEglasses'!R45</f>
        <v>27.8</v>
      </c>
      <c r="F45">
        <f>'RAWDATA SORTED BY_EYEglasses'!S45</f>
        <v>26.5</v>
      </c>
    </row>
    <row r="46" spans="1:10" x14ac:dyDescent="0.25">
      <c r="B46">
        <f>'RAWDATA SORTED BY_EYEglasses'!O46</f>
        <v>28.9</v>
      </c>
      <c r="C46">
        <f>'RAWDATA SORTED BY_EYEglasses'!P46</f>
        <v>29.1</v>
      </c>
      <c r="D46">
        <f>'RAWDATA SORTED BY_EYEglasses'!Q46</f>
        <v>26.6</v>
      </c>
      <c r="E46">
        <f>'RAWDATA SORTED BY_EYEglasses'!R46</f>
        <v>24.2</v>
      </c>
      <c r="F46">
        <f>'RAWDATA SORTED BY_EYEglasses'!S46</f>
        <v>24.6</v>
      </c>
    </row>
    <row r="47" spans="1:10" x14ac:dyDescent="0.25">
      <c r="A47" t="s">
        <v>16</v>
      </c>
      <c r="B47">
        <f>AVERAGE(B3:B46)</f>
        <v>30.502272727272736</v>
      </c>
      <c r="C47">
        <f>AVERAGE(C3:C46)</f>
        <v>28.9</v>
      </c>
      <c r="D47">
        <f>AVERAGE(D3:D46)</f>
        <v>27.38181818181819</v>
      </c>
      <c r="E47">
        <f>AVERAGE(E3:E46)</f>
        <v>25.772727272727273</v>
      </c>
      <c r="F47">
        <f>AVERAGE(F3:F46)</f>
        <v>24.338636363636365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3E42-1B10-4FD0-AC52-3BABBA506484}">
  <dimension ref="A1"/>
  <sheetViews>
    <sheetView workbookViewId="0">
      <selection activeCell="T31" sqref="T31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Raw_Data</vt:lpstr>
      <vt:lpstr>MLX_P</vt:lpstr>
      <vt:lpstr>MLX_P_AVG&amp;SD</vt:lpstr>
      <vt:lpstr>MLX_R</vt:lpstr>
      <vt:lpstr>MLX_R_AVG&amp;SD</vt:lpstr>
      <vt:lpstr>RS_T-10</vt:lpstr>
      <vt:lpstr>RS_T-10_AVG&amp;SD</vt:lpstr>
      <vt:lpstr>AVG_AB_TEMP_Y</vt:lpstr>
      <vt:lpstr>AVG_AB_TEMP_N</vt:lpstr>
      <vt:lpstr>AV&amp;SD@25degree_AB_T</vt:lpstr>
      <vt:lpstr>AV&amp;SD@16degree_AB_T</vt:lpstr>
      <vt:lpstr>comparison _MLX-P_MLX-R_RS-T10</vt:lpstr>
      <vt:lpstr>ALL ABT</vt:lpstr>
      <vt:lpstr>RAWDATA SORTED BY_EYEglasses</vt:lpstr>
      <vt:lpstr>MLX-P_WorWT_EYEglasses</vt:lpstr>
      <vt:lpstr>MLX-R_WorWT_EYEglasses</vt:lpstr>
      <vt:lpstr>RS-T10_WorWT_EYEglasses</vt:lpstr>
      <vt:lpstr>MLXP&amp;R_RS-T10_WorWT_EYEglasses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Labrosse</dc:creator>
  <dc:description/>
  <cp:lastModifiedBy>oluwatobi Alagbe</cp:lastModifiedBy>
  <cp:revision>15</cp:revision>
  <dcterms:created xsi:type="dcterms:W3CDTF">2025-01-21T16:30:55Z</dcterms:created>
  <dcterms:modified xsi:type="dcterms:W3CDTF">2025-12-09T16:36:32Z</dcterms:modified>
  <dc:language>en-GB</dc:language>
</cp:coreProperties>
</file>