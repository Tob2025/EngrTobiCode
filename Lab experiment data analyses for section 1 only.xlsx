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2c7099617ee8b5/Desktop/MY THESIS BUILD UP/"/>
    </mc:Choice>
  </mc:AlternateContent>
  <xr:revisionPtr revIDLastSave="0" documentId="8_{DFCF72D3-8504-4459-AEA6-945290D6F7FD}" xr6:coauthVersionLast="47" xr6:coauthVersionMax="47" xr10:uidLastSave="{00000000-0000-0000-0000-000000000000}"/>
  <bookViews>
    <workbookView xWindow="-108" yWindow="-108" windowWidth="23256" windowHeight="13896" firstSheet="12" activeTab="15" xr2:uid="{934B3BB9-CEB4-487E-BCB8-9BE3F7F93A22}"/>
  </bookViews>
  <sheets>
    <sheet name="Natutal_illumination_light skin" sheetId="1" r:id="rId1"/>
    <sheet name="Naural_Illumination_dark_skinwg" sheetId="2" r:id="rId2"/>
    <sheet name="Naural_Illumination_darkskinwtg" sheetId="3" r:id="rId3"/>
    <sheet name="Artificial_Illumination_Light_s" sheetId="4" r:id="rId4"/>
    <sheet name="artificial_illuminatn_dksknwG" sheetId="5" r:id="rId5"/>
    <sheet name="Artificial_illumination_Dark_sk" sheetId="6" r:id="rId6"/>
    <sheet name="Natutal_Illuminatn _ltsknwg" sheetId="7" r:id="rId7"/>
    <sheet name="Natutal_Illuminatn _ltsknwhgl" sheetId="8" r:id="rId8"/>
    <sheet name="artificial_illumintn_litsknwg" sheetId="9" r:id="rId9"/>
    <sheet name="artificial_illumintn_litsknwhgl" sheetId="10" r:id="rId10"/>
    <sheet name="readingdistancePimoroniMLX9064" sheetId="11" r:id="rId11"/>
    <sheet name="readingdistanceRSPROT-10" sheetId="12" r:id="rId12"/>
    <sheet name="readingdistnceRobotshopMLX90640" sheetId="13" r:id="rId13"/>
    <sheet name="Avarageateachdistance" sheetId="14" r:id="rId14"/>
    <sheet name="SDateachdiatnce" sheetId="15" r:id="rId15"/>
    <sheet name="Average_SD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6" l="1"/>
  <c r="H2" i="16"/>
  <c r="I2" i="16"/>
  <c r="J2" i="16"/>
  <c r="G3" i="16"/>
  <c r="H3" i="16"/>
  <c r="I3" i="16"/>
  <c r="J3" i="16"/>
  <c r="G4" i="16"/>
  <c r="H4" i="16"/>
  <c r="I4" i="16"/>
  <c r="J4" i="16"/>
  <c r="G5" i="16"/>
  <c r="H5" i="16"/>
  <c r="I5" i="16"/>
  <c r="J5" i="16"/>
  <c r="G6" i="16"/>
  <c r="H6" i="16"/>
  <c r="I6" i="16"/>
  <c r="J6" i="16"/>
  <c r="G7" i="16"/>
  <c r="H7" i="16"/>
  <c r="I7" i="16"/>
  <c r="J7" i="16"/>
  <c r="A2" i="16"/>
  <c r="B2" i="16"/>
  <c r="C2" i="16"/>
  <c r="D2" i="16"/>
  <c r="A3" i="16"/>
  <c r="B3" i="16"/>
  <c r="C3" i="16"/>
  <c r="D3" i="16"/>
  <c r="A4" i="16"/>
  <c r="B4" i="16"/>
  <c r="C4" i="16"/>
  <c r="D4" i="16"/>
  <c r="A5" i="16"/>
  <c r="B5" i="16"/>
  <c r="C5" i="16"/>
  <c r="D5" i="16"/>
  <c r="A6" i="16"/>
  <c r="B6" i="16"/>
  <c r="C6" i="16"/>
  <c r="D6" i="16"/>
  <c r="A7" i="16"/>
  <c r="B7" i="16"/>
  <c r="C7" i="16"/>
  <c r="D7" i="16"/>
  <c r="D6" i="15"/>
  <c r="D5" i="15"/>
  <c r="D4" i="15"/>
  <c r="D3" i="15"/>
  <c r="D2" i="15"/>
  <c r="C6" i="15"/>
  <c r="C5" i="15"/>
  <c r="C4" i="15"/>
  <c r="C3" i="15"/>
  <c r="C2" i="15"/>
  <c r="B6" i="15"/>
  <c r="B5" i="15"/>
  <c r="B4" i="15"/>
  <c r="B3" i="15"/>
  <c r="B2" i="15"/>
  <c r="D6" i="14"/>
  <c r="D5" i="14"/>
  <c r="D4" i="14"/>
  <c r="D3" i="14"/>
  <c r="D2" i="14"/>
  <c r="C6" i="14"/>
  <c r="C5" i="14"/>
  <c r="C4" i="14"/>
  <c r="C3" i="14"/>
  <c r="C2" i="14"/>
  <c r="B6" i="14"/>
  <c r="B5" i="14"/>
  <c r="B4" i="14"/>
  <c r="B3" i="14"/>
  <c r="B2" i="14"/>
  <c r="F17" i="11"/>
  <c r="E17" i="11"/>
  <c r="D17" i="11"/>
  <c r="C17" i="11"/>
  <c r="B17" i="11"/>
  <c r="F15" i="11"/>
  <c r="E15" i="11"/>
  <c r="D15" i="11"/>
  <c r="C15" i="11"/>
  <c r="B15" i="11"/>
  <c r="F13" i="11"/>
  <c r="E13" i="11"/>
  <c r="D13" i="11"/>
  <c r="C13" i="11"/>
  <c r="B13" i="11"/>
  <c r="F17" i="12"/>
  <c r="E17" i="12"/>
  <c r="D17" i="12"/>
  <c r="C17" i="12"/>
  <c r="B17" i="12"/>
  <c r="F15" i="12"/>
  <c r="E15" i="12"/>
  <c r="D15" i="12"/>
  <c r="C15" i="12"/>
  <c r="B15" i="12"/>
  <c r="F13" i="12"/>
  <c r="E13" i="12"/>
  <c r="D13" i="12"/>
  <c r="C13" i="12"/>
  <c r="B13" i="12"/>
  <c r="F17" i="13"/>
  <c r="E17" i="13"/>
  <c r="D17" i="13"/>
  <c r="C17" i="13"/>
  <c r="E11" i="13" l="1"/>
  <c r="F11" i="13"/>
  <c r="D11" i="13"/>
  <c r="C11" i="13"/>
  <c r="B11" i="13"/>
  <c r="F10" i="13"/>
  <c r="E10" i="13"/>
  <c r="D10" i="13"/>
  <c r="C10" i="13"/>
  <c r="B10" i="13"/>
  <c r="F9" i="13"/>
  <c r="E9" i="13"/>
  <c r="D9" i="13"/>
  <c r="C9" i="13"/>
  <c r="B9" i="13"/>
  <c r="F8" i="13"/>
  <c r="E8" i="13"/>
  <c r="D8" i="13"/>
  <c r="C8" i="13"/>
  <c r="B8" i="13"/>
  <c r="F7" i="13"/>
  <c r="E7" i="13"/>
  <c r="D7" i="13"/>
  <c r="C7" i="13"/>
  <c r="B7" i="13"/>
  <c r="F6" i="13"/>
  <c r="E6" i="13"/>
  <c r="D6" i="13"/>
  <c r="C6" i="13"/>
  <c r="B6" i="13"/>
  <c r="F5" i="13"/>
  <c r="E5" i="13"/>
  <c r="D5" i="13"/>
  <c r="C5" i="13"/>
  <c r="B5" i="13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F11" i="12"/>
  <c r="E11" i="12"/>
  <c r="D11" i="12"/>
  <c r="C11" i="12"/>
  <c r="B11" i="12"/>
  <c r="F10" i="12"/>
  <c r="E10" i="12"/>
  <c r="D10" i="12"/>
  <c r="C10" i="12"/>
  <c r="B10" i="12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F2" i="12"/>
  <c r="E2" i="12"/>
  <c r="D2" i="12"/>
  <c r="C2" i="12"/>
  <c r="B2" i="12"/>
  <c r="F11" i="11"/>
  <c r="E11" i="11"/>
  <c r="D11" i="11"/>
  <c r="C11" i="11"/>
  <c r="B11" i="11"/>
  <c r="F10" i="11"/>
  <c r="E10" i="11"/>
  <c r="D10" i="11"/>
  <c r="C10" i="11"/>
  <c r="B10" i="11"/>
  <c r="F9" i="11"/>
  <c r="E9" i="11"/>
  <c r="D9" i="11"/>
  <c r="C9" i="11"/>
  <c r="B9" i="11"/>
  <c r="F8" i="11"/>
  <c r="E8" i="11"/>
  <c r="D8" i="11"/>
  <c r="C8" i="11"/>
  <c r="B8" i="11"/>
  <c r="F7" i="11"/>
  <c r="E7" i="11"/>
  <c r="D7" i="11"/>
  <c r="C7" i="11"/>
  <c r="B7" i="11"/>
  <c r="F6" i="11"/>
  <c r="E6" i="11"/>
  <c r="D6" i="11"/>
  <c r="C6" i="11"/>
  <c r="B6" i="11"/>
  <c r="F5" i="11"/>
  <c r="D5" i="11"/>
  <c r="E5" i="11"/>
  <c r="C5" i="11"/>
  <c r="B5" i="11"/>
  <c r="F4" i="11"/>
  <c r="E4" i="11"/>
  <c r="D4" i="11"/>
  <c r="C4" i="11"/>
  <c r="B4" i="11"/>
  <c r="F3" i="11"/>
  <c r="E3" i="11"/>
  <c r="D3" i="11"/>
  <c r="C3" i="11"/>
  <c r="B3" i="11"/>
  <c r="F2" i="11"/>
  <c r="E2" i="11"/>
  <c r="D2" i="11"/>
  <c r="C2" i="11"/>
  <c r="B2" i="11"/>
  <c r="B15" i="13" l="1"/>
  <c r="B17" i="13" s="1"/>
  <c r="B13" i="13"/>
  <c r="D15" i="13"/>
  <c r="D13" i="13"/>
  <c r="F15" i="13"/>
  <c r="F13" i="13"/>
  <c r="C15" i="13"/>
  <c r="C13" i="13"/>
  <c r="E13" i="13"/>
  <c r="E15" i="13"/>
</calcChain>
</file>

<file path=xl/sharedStrings.xml><?xml version="1.0" encoding="utf-8"?>
<sst xmlns="http://schemas.openxmlformats.org/spreadsheetml/2006/main" count="207" uniqueCount="85">
  <si>
    <t>DATE/TIME</t>
  </si>
  <si>
    <t>Pimoroni MLX90640  (degree Celsius)</t>
  </si>
  <si>
    <t>RS PRO T-10  (degree Celsius)</t>
  </si>
  <si>
    <t>RobotShop MLX90640 (degree Celsius)</t>
  </si>
  <si>
    <t>DISTANCE (M)</t>
  </si>
  <si>
    <t>AMBIENT TEMP  (degree Celsius)</t>
  </si>
  <si>
    <t>Actual Temp  (degree Celsius)</t>
  </si>
  <si>
    <t>09-09-24/12:00</t>
  </si>
  <si>
    <t>09-09-24/12:01</t>
  </si>
  <si>
    <t>09-09-24/12:02</t>
  </si>
  <si>
    <t>09-09-24/12:03</t>
  </si>
  <si>
    <t>09-09-24/12:04</t>
  </si>
  <si>
    <t>Natutal_illumination_light skin</t>
  </si>
  <si>
    <t>09-09-24/12:15</t>
  </si>
  <si>
    <t>09-09-24/12:16</t>
  </si>
  <si>
    <t>09-09-24/12:17</t>
  </si>
  <si>
    <t>09-09-24/12:18</t>
  </si>
  <si>
    <t>09-09-24/12:19</t>
  </si>
  <si>
    <t>Naural Illumination dark skin with eye glasses on</t>
  </si>
  <si>
    <t>09-09-24/12:28</t>
  </si>
  <si>
    <t>09-09-24/12:29</t>
  </si>
  <si>
    <t>09-09-24/12:30</t>
  </si>
  <si>
    <t>09-09-24/12:31</t>
  </si>
  <si>
    <t>09-09-24/12:32</t>
  </si>
  <si>
    <t xml:space="preserve">Artificial Illumination Light skin </t>
  </si>
  <si>
    <t>09-09-24/13:35</t>
  </si>
  <si>
    <t>09-09-24/13:37</t>
  </si>
  <si>
    <t>09-09-24/13:39</t>
  </si>
  <si>
    <t>09-09-24/13:41</t>
  </si>
  <si>
    <t>09-09-24/13:43</t>
  </si>
  <si>
    <t xml:space="preserve">Artificial illumination Dark skin with eye glass </t>
  </si>
  <si>
    <t>09-09-24/12:35</t>
  </si>
  <si>
    <t>09-09-24/12:37</t>
  </si>
  <si>
    <t>09-09-24/12:39</t>
  </si>
  <si>
    <t>09-09-24/12:41</t>
  </si>
  <si>
    <t>09-09-24/12:43</t>
  </si>
  <si>
    <t xml:space="preserve">Artificial illumination Dark skin without eye glass </t>
  </si>
  <si>
    <t>09-09-24/13:55</t>
  </si>
  <si>
    <t>Natutal Illumination  light skin  with Glasses</t>
  </si>
  <si>
    <t>09-09-24/13:56</t>
  </si>
  <si>
    <t>09-09-24/13:57</t>
  </si>
  <si>
    <t>09-09-24/13:58</t>
  </si>
  <si>
    <t>09-09-24/13:59</t>
  </si>
  <si>
    <t>Natutal illumination light skin without glasses</t>
  </si>
  <si>
    <t>09-09-24/14:00</t>
  </si>
  <si>
    <t>09-09-24/14:02</t>
  </si>
  <si>
    <t>09-09-24/14:04</t>
  </si>
  <si>
    <t>09-09-24/14:06</t>
  </si>
  <si>
    <t>09-09-24/14:08</t>
  </si>
  <si>
    <t>Artificail illumination light skin with glasses</t>
  </si>
  <si>
    <t xml:space="preserve">Artificial Illumination light skin without glasses </t>
  </si>
  <si>
    <t>Natural Illumination dark skin without Glasses</t>
  </si>
  <si>
    <t>Category of Temp reading from Robotshop MLX90640 (Degree Celsius)</t>
  </si>
  <si>
    <t>Temp Readings at 1 Metre</t>
  </si>
  <si>
    <t>Temp Readings at 2 Metres</t>
  </si>
  <si>
    <t>Temp Readings at 3 Metres</t>
  </si>
  <si>
    <t>Temp Readings at 4 Metres</t>
  </si>
  <si>
    <t>Temp Readings at 5 Metres</t>
  </si>
  <si>
    <t>Light skin emissivity under artificial Illumination</t>
  </si>
  <si>
    <t>Dark skin emissivity under natural Illumination with eye glasses on</t>
  </si>
  <si>
    <t>Dark skin emissivity under natural Illumination without eye glasses on</t>
  </si>
  <si>
    <t>Light skin emissivity under natural Illumination</t>
  </si>
  <si>
    <t>Dark skin emissivity under artificial Illumination with eyeglasses on</t>
  </si>
  <si>
    <t>Dark skin emissivity under artificial l Illumination without eyeglasses on</t>
  </si>
  <si>
    <t>Light skin emissivity under natural Illumination with eyeglasses on</t>
  </si>
  <si>
    <t>Light skin emissivity under natural Illumination without eye glasses on</t>
  </si>
  <si>
    <t>Light skin emissivity under artificial Illumination with eyeglasses on</t>
  </si>
  <si>
    <t>Light skin emissivity under artificial l Illumination without eyeglasses on</t>
  </si>
  <si>
    <t>Category of Temp reading from Pimoroni MLX90640  (degree Celsius)</t>
  </si>
  <si>
    <t>Category of Temp reading from RS PRO T-10 (Degree Celsius)</t>
  </si>
  <si>
    <t>Mean Temp reading  for each distance (Metre)</t>
  </si>
  <si>
    <t xml:space="preserve">Variance </t>
  </si>
  <si>
    <t>Standard Deviation</t>
  </si>
  <si>
    <t>Variance</t>
  </si>
  <si>
    <t>Distance</t>
  </si>
  <si>
    <t>Pimoroni MLX90640</t>
  </si>
  <si>
    <t xml:space="preserve"> RS PRO T-10</t>
  </si>
  <si>
    <t>Robotshop MLX90640</t>
  </si>
  <si>
    <t>1 Metre</t>
  </si>
  <si>
    <t>2 Metres</t>
  </si>
  <si>
    <t>3 Metres</t>
  </si>
  <si>
    <t>4 Metres</t>
  </si>
  <si>
    <t>5 Metres</t>
  </si>
  <si>
    <t>Average Values</t>
  </si>
  <si>
    <t>S.D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</si>
</sst>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illumination, light skin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'Natutal_illumination_light skin'!$B$1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BA4-44D4-8891-F49A2A1C0D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'Natutal_illumination_light skin'!$B$2:$B$6</c:f>
              <c:numCache>
                <c:formatCode>General</c:formatCode>
                <c:ptCount val="5"/>
                <c:pt idx="0">
                  <c:v>30.1</c:v>
                </c:pt>
                <c:pt idx="1">
                  <c:v>25.1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4-44D4-8891-F49A2A1C0D49}"/>
            </c:ext>
          </c:extLst>
        </c:ser>
        <c:ser>
          <c:idx val="1"/>
          <c:order val="1"/>
          <c:tx>
            <c:strRef>
              <c:f>'Natutal_illumination_light skin'!$C$1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'Natutal_illumination_light skin'!$C$2:$C$6</c:f>
              <c:numCache>
                <c:formatCode>General</c:formatCode>
                <c:ptCount val="5"/>
                <c:pt idx="0">
                  <c:v>29.7</c:v>
                </c:pt>
                <c:pt idx="1">
                  <c:v>29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4-44D4-8891-F49A2A1C0D49}"/>
            </c:ext>
          </c:extLst>
        </c:ser>
        <c:ser>
          <c:idx val="2"/>
          <c:order val="2"/>
          <c:tx>
            <c:strRef>
              <c:f>'Natutal_illumination_light skin'!$D$1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'Natutal_illumination_light skin'!$D$2:$D$6</c:f>
              <c:numCache>
                <c:formatCode>General</c:formatCode>
                <c:ptCount val="5"/>
                <c:pt idx="0">
                  <c:v>30</c:v>
                </c:pt>
                <c:pt idx="1">
                  <c:v>24.9</c:v>
                </c:pt>
                <c:pt idx="2">
                  <c:v>23</c:v>
                </c:pt>
                <c:pt idx="3">
                  <c:v>21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A4-44D4-8891-F49A2A1C0D49}"/>
            </c:ext>
          </c:extLst>
        </c:ser>
        <c:ser>
          <c:idx val="3"/>
          <c:order val="3"/>
          <c:tx>
            <c:strRef>
              <c:f>'Natutal_illumination_light skin'!$E$1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'Natutal_illumination_light skin'!$E$2:$E$6</c:f>
              <c:numCache>
                <c:formatCode>General</c:formatCode>
                <c:ptCount val="5"/>
                <c:pt idx="0">
                  <c:v>36.5</c:v>
                </c:pt>
                <c:pt idx="1">
                  <c:v>36.5</c:v>
                </c:pt>
                <c:pt idx="2">
                  <c:v>36.5</c:v>
                </c:pt>
                <c:pt idx="3">
                  <c:v>36.5</c:v>
                </c:pt>
                <c:pt idx="4">
                  <c:v>36.5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A4-44D4-8891-F49A2A1C0D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2987984"/>
        <c:axId val="552988344"/>
      </c:lineChart>
      <c:catAx>
        <c:axId val="55298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88344"/>
        <c:crosses val="autoZero"/>
        <c:auto val="1"/>
        <c:lblAlgn val="ctr"/>
        <c:lblOffset val="100"/>
        <c:noMultiLvlLbl val="0"/>
      </c:catAx>
      <c:valAx>
        <c:axId val="5529883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98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Naural Illumination, dark skin, with glasses 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Naural_Illumination_dark_skinwg!$B$1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Naural_Illumination_dark_skinwg!$B$2:$B$6</c:f>
              <c:numCache>
                <c:formatCode>General</c:formatCode>
                <c:ptCount val="5"/>
                <c:pt idx="0">
                  <c:v>29</c:v>
                </c:pt>
                <c:pt idx="1">
                  <c:v>24.5</c:v>
                </c:pt>
                <c:pt idx="2">
                  <c:v>23.5</c:v>
                </c:pt>
                <c:pt idx="3">
                  <c:v>22</c:v>
                </c:pt>
                <c:pt idx="4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2-45EC-A407-A83D66171E91}"/>
            </c:ext>
          </c:extLst>
        </c:ser>
        <c:ser>
          <c:idx val="1"/>
          <c:order val="1"/>
          <c:tx>
            <c:strRef>
              <c:f>Naural_Illumination_dark_skinwg!$C$1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Naural_Illumination_dark_skinwg!$C$2:$C$6</c:f>
              <c:numCache>
                <c:formatCode>General</c:formatCode>
                <c:ptCount val="5"/>
                <c:pt idx="0">
                  <c:v>29.3</c:v>
                </c:pt>
                <c:pt idx="1">
                  <c:v>29</c:v>
                </c:pt>
                <c:pt idx="2">
                  <c:v>27.8</c:v>
                </c:pt>
                <c:pt idx="3">
                  <c:v>27.8</c:v>
                </c:pt>
                <c:pt idx="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92-45EC-A407-A83D66171E91}"/>
            </c:ext>
          </c:extLst>
        </c:ser>
        <c:ser>
          <c:idx val="2"/>
          <c:order val="2"/>
          <c:tx>
            <c:strRef>
              <c:f>Naural_Illumination_dark_skinwg!$D$1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A92-45EC-A407-A83D66171E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Naural_Illumination_dark_skinwg!$D$2:$D$6</c:f>
              <c:numCache>
                <c:formatCode>General</c:formatCode>
                <c:ptCount val="5"/>
                <c:pt idx="0">
                  <c:v>29.5</c:v>
                </c:pt>
                <c:pt idx="1">
                  <c:v>25.75</c:v>
                </c:pt>
                <c:pt idx="2">
                  <c:v>24</c:v>
                </c:pt>
                <c:pt idx="3">
                  <c:v>24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92-45EC-A407-A83D66171E91}"/>
            </c:ext>
          </c:extLst>
        </c:ser>
        <c:ser>
          <c:idx val="3"/>
          <c:order val="3"/>
          <c:tx>
            <c:strRef>
              <c:f>Naural_Illumination_dark_skinwg!$E$1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Naural_Illumination_dark_skinwg!$E$2:$E$6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92-45EC-A407-A83D66171E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7698248"/>
        <c:axId val="527697168"/>
      </c:lineChart>
      <c:catAx>
        <c:axId val="5276982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97168"/>
        <c:crosses val="autoZero"/>
        <c:auto val="1"/>
        <c:lblAlgn val="ctr"/>
        <c:lblOffset val="100"/>
        <c:noMultiLvlLbl val="0"/>
      </c:catAx>
      <c:valAx>
        <c:axId val="5276971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in degree celsius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9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Natural Illumination, dark skin, without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Naural_Illumination_darkskinwtg!$B$1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Naural_Illumination_darkskinwtg!$B$2:$B$6</c:f>
              <c:numCache>
                <c:formatCode>General</c:formatCode>
                <c:ptCount val="5"/>
                <c:pt idx="0">
                  <c:v>29.7</c:v>
                </c:pt>
                <c:pt idx="1">
                  <c:v>25.7</c:v>
                </c:pt>
                <c:pt idx="2">
                  <c:v>23.8</c:v>
                </c:pt>
                <c:pt idx="3">
                  <c:v>21.8</c:v>
                </c:pt>
                <c:pt idx="4">
                  <c:v>21.5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17-4896-A4EF-10BDFCEA7B51}"/>
            </c:ext>
          </c:extLst>
        </c:ser>
        <c:ser>
          <c:idx val="1"/>
          <c:order val="1"/>
          <c:tx>
            <c:strRef>
              <c:f>Naural_Illumination_darkskinwtg!$C$1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117-4896-A4EF-10BDFCEA7B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Naural_Illumination_darkskinwtg!$C$2:$C$6</c:f>
              <c:numCache>
                <c:formatCode>General</c:formatCode>
                <c:ptCount val="5"/>
                <c:pt idx="0">
                  <c:v>30</c:v>
                </c:pt>
                <c:pt idx="1">
                  <c:v>29.8</c:v>
                </c:pt>
                <c:pt idx="2">
                  <c:v>28.9</c:v>
                </c:pt>
                <c:pt idx="3">
                  <c:v>27.3</c:v>
                </c:pt>
                <c:pt idx="4">
                  <c:v>26.2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17-4896-A4EF-10BDFCEA7B51}"/>
            </c:ext>
          </c:extLst>
        </c:ser>
        <c:ser>
          <c:idx val="2"/>
          <c:order val="2"/>
          <c:tx>
            <c:strRef>
              <c:f>Naural_Illumination_darkskinwtg!$D$1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Naural_Illumination_darkskinwtg!$D$2:$D$6</c:f>
              <c:numCache>
                <c:formatCode>General</c:formatCode>
                <c:ptCount val="5"/>
                <c:pt idx="0">
                  <c:v>31.5</c:v>
                </c:pt>
                <c:pt idx="1">
                  <c:v>27</c:v>
                </c:pt>
                <c:pt idx="2">
                  <c:v>24.3</c:v>
                </c:pt>
                <c:pt idx="3">
                  <c:v>22.5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17-4896-A4EF-10BDFCEA7B51}"/>
            </c:ext>
          </c:extLst>
        </c:ser>
        <c:ser>
          <c:idx val="3"/>
          <c:order val="3"/>
          <c:tx>
            <c:strRef>
              <c:f>Naural_Illumination_darkskinwtg!$E$1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Naural_Illumination_darkskinwtg!$E$2:$E$6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17-4896-A4EF-10BDFCEA7B5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0883472"/>
        <c:axId val="770884192"/>
      </c:lineChart>
      <c:catAx>
        <c:axId val="770883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84192"/>
        <c:crosses val="autoZero"/>
        <c:auto val="1"/>
        <c:lblAlgn val="ctr"/>
        <c:lblOffset val="100"/>
        <c:noMultiLvlLbl val="0"/>
      </c:catAx>
      <c:valAx>
        <c:axId val="7708841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8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Illumination,Light skin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Artificial_Illumination_Light_s!$B$1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Artificial_Illumination_Light_s!$B$2:$B$6</c:f>
              <c:numCache>
                <c:formatCode>General</c:formatCode>
                <c:ptCount val="5"/>
                <c:pt idx="0">
                  <c:v>28.1</c:v>
                </c:pt>
                <c:pt idx="1">
                  <c:v>24.5</c:v>
                </c:pt>
                <c:pt idx="2">
                  <c:v>23.5</c:v>
                </c:pt>
                <c:pt idx="3">
                  <c:v>22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EF-4EEF-87AE-05442C6A7E7D}"/>
            </c:ext>
          </c:extLst>
        </c:ser>
        <c:ser>
          <c:idx val="1"/>
          <c:order val="1"/>
          <c:tx>
            <c:strRef>
              <c:f>Artificial_Illumination_Light_s!$C$1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Artificial_Illumination_Light_s!$C$2:$C$6</c:f>
              <c:numCache>
                <c:formatCode>General</c:formatCode>
                <c:ptCount val="5"/>
                <c:pt idx="0">
                  <c:v>30.4</c:v>
                </c:pt>
                <c:pt idx="1">
                  <c:v>29.2</c:v>
                </c:pt>
                <c:pt idx="2">
                  <c:v>27.5</c:v>
                </c:pt>
                <c:pt idx="3">
                  <c:v>26.2</c:v>
                </c:pt>
                <c:pt idx="4">
                  <c:v>24.2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EF-4EEF-87AE-05442C6A7E7D}"/>
            </c:ext>
          </c:extLst>
        </c:ser>
        <c:ser>
          <c:idx val="2"/>
          <c:order val="2"/>
          <c:tx>
            <c:strRef>
              <c:f>Artificial_Illumination_Light_s!$D$1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Artificial_Illumination_Light_s!$D$2:$D$6</c:f>
              <c:numCache>
                <c:formatCode>General</c:formatCode>
                <c:ptCount val="5"/>
                <c:pt idx="0">
                  <c:v>29</c:v>
                </c:pt>
                <c:pt idx="1">
                  <c:v>25.6</c:v>
                </c:pt>
                <c:pt idx="2">
                  <c:v>24</c:v>
                </c:pt>
                <c:pt idx="3">
                  <c:v>22.5</c:v>
                </c:pt>
                <c:pt idx="4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EF-4EEF-87AE-05442C6A7E7D}"/>
            </c:ext>
          </c:extLst>
        </c:ser>
        <c:ser>
          <c:idx val="3"/>
          <c:order val="3"/>
          <c:tx>
            <c:strRef>
              <c:f>Artificial_Illumination_Light_s!$E$1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Artificial_Illumination_Light_s!$E$2:$E$6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EF-4EEF-87AE-05442C6A7E7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8554480"/>
        <c:axId val="768554840"/>
      </c:lineChart>
      <c:catAx>
        <c:axId val="768554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54840"/>
        <c:crosses val="autoZero"/>
        <c:auto val="1"/>
        <c:lblAlgn val="ctr"/>
        <c:lblOffset val="100"/>
        <c:noMultiLvlLbl val="0"/>
      </c:catAx>
      <c:valAx>
        <c:axId val="76855484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55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Dark skin with glass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artificial_illuminatn_dksknwG!$B$1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artificial_illuminatn_dksknwG!$B$2:$B$6</c:f>
              <c:numCache>
                <c:formatCode>General</c:formatCode>
                <c:ptCount val="5"/>
                <c:pt idx="0">
                  <c:v>29</c:v>
                </c:pt>
                <c:pt idx="1">
                  <c:v>26.5</c:v>
                </c:pt>
                <c:pt idx="2">
                  <c:v>24</c:v>
                </c:pt>
                <c:pt idx="3">
                  <c:v>23</c:v>
                </c:pt>
                <c:pt idx="4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21-4E68-A87A-C29B11976CC2}"/>
            </c:ext>
          </c:extLst>
        </c:ser>
        <c:ser>
          <c:idx val="1"/>
          <c:order val="1"/>
          <c:tx>
            <c:strRef>
              <c:f>artificial_illuminatn_dksknwG!$C$1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artificial_illuminatn_dksknwG!$C$2:$C$6</c:f>
              <c:numCache>
                <c:formatCode>General</c:formatCode>
                <c:ptCount val="5"/>
                <c:pt idx="0">
                  <c:v>29.7</c:v>
                </c:pt>
                <c:pt idx="1">
                  <c:v>28.7</c:v>
                </c:pt>
                <c:pt idx="2">
                  <c:v>27.9</c:v>
                </c:pt>
                <c:pt idx="3">
                  <c:v>26.3</c:v>
                </c:pt>
                <c:pt idx="4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21-4E68-A87A-C29B11976CC2}"/>
            </c:ext>
          </c:extLst>
        </c:ser>
        <c:ser>
          <c:idx val="2"/>
          <c:order val="2"/>
          <c:tx>
            <c:strRef>
              <c:f>artificial_illuminatn_dksknwG!$D$1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21-4E68-A87A-C29B11976C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artificial_illuminatn_dksknwG!$D$2:$D$6</c:f>
              <c:numCache>
                <c:formatCode>General</c:formatCode>
                <c:ptCount val="5"/>
                <c:pt idx="0">
                  <c:v>30</c:v>
                </c:pt>
                <c:pt idx="1">
                  <c:v>26.8</c:v>
                </c:pt>
                <c:pt idx="2">
                  <c:v>24.5</c:v>
                </c:pt>
                <c:pt idx="3">
                  <c:v>24.4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21-4E68-A87A-C29B11976CC2}"/>
            </c:ext>
          </c:extLst>
        </c:ser>
        <c:ser>
          <c:idx val="3"/>
          <c:order val="3"/>
          <c:tx>
            <c:strRef>
              <c:f>artificial_illuminatn_dksknwG!$E$1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artificial_illuminatn_dksknwG!$E$2:$E$6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21-4E68-A87A-C29B11976C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09808"/>
        <c:axId val="811507288"/>
      </c:lineChart>
      <c:catAx>
        <c:axId val="811509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7288"/>
        <c:crosses val="autoZero"/>
        <c:auto val="1"/>
        <c:lblAlgn val="ctr"/>
        <c:lblOffset val="100"/>
        <c:noMultiLvlLbl val="0"/>
      </c:catAx>
      <c:valAx>
        <c:axId val="81150728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Temparature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Dark skin without glass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Artificial_illumination_Dark_sk!$B$1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Artificial_illumination_Dark_sk!$B$2:$B$6</c:f>
              <c:numCache>
                <c:formatCode>General</c:formatCode>
                <c:ptCount val="5"/>
                <c:pt idx="0">
                  <c:v>29.8</c:v>
                </c:pt>
                <c:pt idx="1">
                  <c:v>26.3</c:v>
                </c:pt>
                <c:pt idx="2">
                  <c:v>24.5</c:v>
                </c:pt>
                <c:pt idx="3">
                  <c:v>23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A-41D9-92CA-90BBA8CA35E2}"/>
            </c:ext>
          </c:extLst>
        </c:ser>
        <c:ser>
          <c:idx val="1"/>
          <c:order val="1"/>
          <c:tx>
            <c:strRef>
              <c:f>Artificial_illumination_Dark_sk!$C$1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7A-41D9-92CA-90BBA8CA35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Artificial_illumination_Dark_sk!$C$2:$C$6</c:f>
              <c:numCache>
                <c:formatCode>General</c:formatCode>
                <c:ptCount val="5"/>
                <c:pt idx="0">
                  <c:v>29.9</c:v>
                </c:pt>
                <c:pt idx="1">
                  <c:v>29.2</c:v>
                </c:pt>
                <c:pt idx="2">
                  <c:v>28.4</c:v>
                </c:pt>
                <c:pt idx="3">
                  <c:v>27.5</c:v>
                </c:pt>
                <c:pt idx="4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A-41D9-92CA-90BBA8CA35E2}"/>
            </c:ext>
          </c:extLst>
        </c:ser>
        <c:ser>
          <c:idx val="2"/>
          <c:order val="2"/>
          <c:tx>
            <c:strRef>
              <c:f>Artificial_illumination_Dark_sk!$D$1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Artificial_illumination_Dark_sk!$D$2:$D$6</c:f>
              <c:numCache>
                <c:formatCode>General</c:formatCode>
                <c:ptCount val="5"/>
                <c:pt idx="0">
                  <c:v>31</c:v>
                </c:pt>
                <c:pt idx="1">
                  <c:v>27.5</c:v>
                </c:pt>
                <c:pt idx="2">
                  <c:v>25</c:v>
                </c:pt>
                <c:pt idx="3">
                  <c:v>24.5</c:v>
                </c:pt>
                <c:pt idx="4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A-41D9-92CA-90BBA8CA35E2}"/>
            </c:ext>
          </c:extLst>
        </c:ser>
        <c:ser>
          <c:idx val="3"/>
          <c:order val="3"/>
          <c:tx>
            <c:strRef>
              <c:f>Artificial_illumination_Dark_sk!$E$1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Artificial_illumination_Dark_sk!$E$2:$E$6</c:f>
              <c:numCache>
                <c:formatCode>General</c:formatCode>
                <c:ptCount val="5"/>
                <c:pt idx="0">
                  <c:v>36</c:v>
                </c:pt>
                <c:pt idx="1">
                  <c:v>36</c:v>
                </c:pt>
                <c:pt idx="2">
                  <c:v>36</c:v>
                </c:pt>
                <c:pt idx="3">
                  <c:v>36</c:v>
                </c:pt>
                <c:pt idx="4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A-41D9-92CA-90BBA8CA35E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7485016"/>
        <c:axId val="527485736"/>
      </c:lineChart>
      <c:catAx>
        <c:axId val="527485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85736"/>
        <c:crosses val="autoZero"/>
        <c:auto val="1"/>
        <c:lblAlgn val="ctr"/>
        <c:lblOffset val="100"/>
        <c:noMultiLvlLbl val="0"/>
      </c:catAx>
      <c:valAx>
        <c:axId val="5274857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485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  light skin  with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'Natutal_Illuminatn _ltsknwg'!$B$1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_ltsknwg'!$B$2:$B$6</c:f>
              <c:numCache>
                <c:formatCode>General</c:formatCode>
                <c:ptCount val="5"/>
                <c:pt idx="0">
                  <c:v>30</c:v>
                </c:pt>
                <c:pt idx="1">
                  <c:v>26.5</c:v>
                </c:pt>
                <c:pt idx="2">
                  <c:v>24</c:v>
                </c:pt>
                <c:pt idx="3">
                  <c:v>22.5</c:v>
                </c:pt>
                <c:pt idx="4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2E-446A-A22F-E9D068A967B8}"/>
            </c:ext>
          </c:extLst>
        </c:ser>
        <c:ser>
          <c:idx val="1"/>
          <c:order val="1"/>
          <c:tx>
            <c:strRef>
              <c:f>'Natutal_Illuminatn _ltsknwg'!$C$1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_ltsknwg'!$C$2:$C$6</c:f>
              <c:numCache>
                <c:formatCode>General</c:formatCode>
                <c:ptCount val="5"/>
                <c:pt idx="0">
                  <c:v>30.4</c:v>
                </c:pt>
                <c:pt idx="1">
                  <c:v>28.6</c:v>
                </c:pt>
                <c:pt idx="2">
                  <c:v>26.2</c:v>
                </c:pt>
                <c:pt idx="3">
                  <c:v>24.6</c:v>
                </c:pt>
                <c:pt idx="4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2E-446A-A22F-E9D068A967B8}"/>
            </c:ext>
          </c:extLst>
        </c:ser>
        <c:ser>
          <c:idx val="2"/>
          <c:order val="2"/>
          <c:tx>
            <c:strRef>
              <c:f>'Natutal_Illuminatn _ltsknwg'!$D$1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_ltsknwg'!$D$2:$D$6</c:f>
              <c:numCache>
                <c:formatCode>General</c:formatCode>
                <c:ptCount val="5"/>
                <c:pt idx="0">
                  <c:v>30.5</c:v>
                </c:pt>
                <c:pt idx="1">
                  <c:v>26</c:v>
                </c:pt>
                <c:pt idx="2">
                  <c:v>24.5</c:v>
                </c:pt>
                <c:pt idx="3">
                  <c:v>23</c:v>
                </c:pt>
                <c:pt idx="4">
                  <c:v>22.5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2E-446A-A22F-E9D068A967B8}"/>
            </c:ext>
          </c:extLst>
        </c:ser>
        <c:ser>
          <c:idx val="3"/>
          <c:order val="3"/>
          <c:tx>
            <c:strRef>
              <c:f>'Natutal_Illuminatn _ltsknwg'!$E$1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_ltsknwg'!$E$2:$E$6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2E-446A-A22F-E9D068A967B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1952048"/>
        <c:axId val="551952408"/>
      </c:lineChart>
      <c:catAx>
        <c:axId val="55195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52408"/>
        <c:crosses val="autoZero"/>
        <c:auto val="1"/>
        <c:lblAlgn val="ctr"/>
        <c:lblOffset val="100"/>
        <c:noMultiLvlLbl val="0"/>
      </c:catAx>
      <c:valAx>
        <c:axId val="55195240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95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Natutal illumination light skin without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'Natutal_Illuminatn _ltsknwhgl'!$B$1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_ltsknwhgl'!$B$2:$B$6</c:f>
              <c:numCache>
                <c:formatCode>General</c:formatCode>
                <c:ptCount val="5"/>
                <c:pt idx="0">
                  <c:v>30.5</c:v>
                </c:pt>
                <c:pt idx="1">
                  <c:v>25.5</c:v>
                </c:pt>
                <c:pt idx="2">
                  <c:v>24.3</c:v>
                </c:pt>
                <c:pt idx="3">
                  <c:v>22.25</c:v>
                </c:pt>
                <c:pt idx="4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8B-450C-926E-74E854B487BD}"/>
            </c:ext>
          </c:extLst>
        </c:ser>
        <c:ser>
          <c:idx val="1"/>
          <c:order val="1"/>
          <c:tx>
            <c:strRef>
              <c:f>'Natutal_Illuminatn _ltsknwhgl'!$C$1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8B-450C-926E-74E854B487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_ltsknwhgl'!$C$2:$C$6</c:f>
              <c:numCache>
                <c:formatCode>General</c:formatCode>
                <c:ptCount val="5"/>
                <c:pt idx="0">
                  <c:v>30.3</c:v>
                </c:pt>
                <c:pt idx="1">
                  <c:v>28.9</c:v>
                </c:pt>
                <c:pt idx="2">
                  <c:v>27.5</c:v>
                </c:pt>
                <c:pt idx="3">
                  <c:v>26.3</c:v>
                </c:pt>
                <c:pt idx="4">
                  <c:v>23.6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8B-450C-926E-74E854B487BD}"/>
            </c:ext>
          </c:extLst>
        </c:ser>
        <c:ser>
          <c:idx val="2"/>
          <c:order val="2"/>
          <c:tx>
            <c:strRef>
              <c:f>'Natutal_Illuminatn _ltsknwhgl'!$D$1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_ltsknwhgl'!$D$2:$D$6</c:f>
              <c:numCache>
                <c:formatCode>General</c:formatCode>
                <c:ptCount val="5"/>
                <c:pt idx="0">
                  <c:v>31.2</c:v>
                </c:pt>
                <c:pt idx="1">
                  <c:v>26</c:v>
                </c:pt>
                <c:pt idx="2">
                  <c:v>25</c:v>
                </c:pt>
                <c:pt idx="3">
                  <c:v>24</c:v>
                </c:pt>
                <c:pt idx="4">
                  <c:v>23.3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8B-450C-926E-74E854B487BD}"/>
            </c:ext>
          </c:extLst>
        </c:ser>
        <c:ser>
          <c:idx val="3"/>
          <c:order val="3"/>
          <c:tx>
            <c:strRef>
              <c:f>'Natutal_Illuminatn _ltsknwhgl'!$E$1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'Natutal_Illuminatn _ltsknwhgl'!$E$2:$E$6</c:f>
              <c:numCache>
                <c:formatCode>General</c:formatCode>
                <c:ptCount val="5"/>
                <c:pt idx="0">
                  <c:v>35.700000000000003</c:v>
                </c:pt>
                <c:pt idx="1">
                  <c:v>35.700000000000003</c:v>
                </c:pt>
                <c:pt idx="2">
                  <c:v>35.700000000000003</c:v>
                </c:pt>
                <c:pt idx="3">
                  <c:v>35.700000000000003</c:v>
                </c:pt>
                <c:pt idx="4">
                  <c:v>35.700000000000003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8B-450C-926E-74E854B487B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17368"/>
        <c:axId val="811516648"/>
      </c:lineChart>
      <c:catAx>
        <c:axId val="81151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6648"/>
        <c:crosses val="autoZero"/>
        <c:auto val="1"/>
        <c:lblAlgn val="ctr"/>
        <c:lblOffset val="100"/>
        <c:noMultiLvlLbl val="0"/>
      </c:catAx>
      <c:valAx>
        <c:axId val="81151664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7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Artificail illumination light skin with glasses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artificial_illumintn_litsknwg!$B$1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artificial_illumintn_litsknwg!$B$2:$B$6</c:f>
              <c:numCache>
                <c:formatCode>General</c:formatCode>
                <c:ptCount val="5"/>
                <c:pt idx="0">
                  <c:v>28.8</c:v>
                </c:pt>
                <c:pt idx="1">
                  <c:v>25.5</c:v>
                </c:pt>
                <c:pt idx="2">
                  <c:v>24.1</c:v>
                </c:pt>
                <c:pt idx="3">
                  <c:v>23.8</c:v>
                </c:pt>
                <c:pt idx="4">
                  <c:v>23.5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6-423E-BADD-211287390105}"/>
            </c:ext>
          </c:extLst>
        </c:ser>
        <c:ser>
          <c:idx val="1"/>
          <c:order val="1"/>
          <c:tx>
            <c:strRef>
              <c:f>artificial_illumintn_litsknwg!$C$1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artificial_illumintn_litsknwg!$C$2:$C$6</c:f>
              <c:numCache>
                <c:formatCode>General</c:formatCode>
                <c:ptCount val="5"/>
                <c:pt idx="0">
                  <c:v>30.5</c:v>
                </c:pt>
                <c:pt idx="1">
                  <c:v>28.5</c:v>
                </c:pt>
                <c:pt idx="2">
                  <c:v>28.1</c:v>
                </c:pt>
                <c:pt idx="3">
                  <c:v>27</c:v>
                </c:pt>
                <c:pt idx="4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C6-423E-BADD-211287390105}"/>
            </c:ext>
          </c:extLst>
        </c:ser>
        <c:ser>
          <c:idx val="2"/>
          <c:order val="2"/>
          <c:tx>
            <c:strRef>
              <c:f>artificial_illumintn_litsknwg!$D$1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6C6-423E-BADD-2112873901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artificial_illumintn_litsknwg!$D$2:$D$6</c:f>
              <c:numCache>
                <c:formatCode>General</c:formatCode>
                <c:ptCount val="5"/>
                <c:pt idx="0">
                  <c:v>29.5</c:v>
                </c:pt>
                <c:pt idx="1">
                  <c:v>26.3</c:v>
                </c:pt>
                <c:pt idx="2">
                  <c:v>25</c:v>
                </c:pt>
                <c:pt idx="3">
                  <c:v>24.3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C6-423E-BADD-211287390105}"/>
            </c:ext>
          </c:extLst>
        </c:ser>
        <c:ser>
          <c:idx val="3"/>
          <c:order val="3"/>
          <c:tx>
            <c:strRef>
              <c:f>artificial_illumintn_litsknwg!$E$1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artificial_illumintn_litsknwg!$E$2:$E$6</c:f>
              <c:numCache>
                <c:formatCode>General</c:formatCode>
                <c:ptCount val="5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C6-423E-BADD-2112873901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1508008"/>
        <c:axId val="811511968"/>
      </c:lineChart>
      <c:catAx>
        <c:axId val="811508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11968"/>
        <c:crosses val="autoZero"/>
        <c:auto val="1"/>
        <c:lblAlgn val="ctr"/>
        <c:lblOffset val="100"/>
        <c:noMultiLvlLbl val="0"/>
      </c:catAx>
      <c:valAx>
        <c:axId val="81151196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508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Artificial Illumination light skin without glasses 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artificial_illumintn_litsknwhgl!$B$1</c:f>
              <c:strCache>
                <c:ptCount val="1"/>
                <c:pt idx="0">
                  <c:v>Pimoroni MLX90640  (degree Celsius)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artificial_illumintn_litsknwhgl!$B$2:$B$6</c:f>
              <c:numCache>
                <c:formatCode>General</c:formatCode>
                <c:ptCount val="5"/>
                <c:pt idx="0">
                  <c:v>29.5</c:v>
                </c:pt>
                <c:pt idx="1">
                  <c:v>25.5</c:v>
                </c:pt>
                <c:pt idx="2">
                  <c:v>24.5</c:v>
                </c:pt>
                <c:pt idx="3">
                  <c:v>23.8</c:v>
                </c:pt>
                <c:pt idx="4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E3-4F4B-AE20-5A86DF46669A}"/>
            </c:ext>
          </c:extLst>
        </c:ser>
        <c:ser>
          <c:idx val="1"/>
          <c:order val="1"/>
          <c:tx>
            <c:strRef>
              <c:f>artificial_illumintn_litsknwhgl!$C$1</c:f>
              <c:strCache>
                <c:ptCount val="1"/>
                <c:pt idx="0">
                  <c:v>RS PRO T-10  (degree Celsius)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artificial_illumintn_litsknwhgl!$C$2:$C$6</c:f>
              <c:numCache>
                <c:formatCode>General</c:formatCode>
                <c:ptCount val="5"/>
                <c:pt idx="0">
                  <c:v>30.8</c:v>
                </c:pt>
                <c:pt idx="1">
                  <c:v>28.9</c:v>
                </c:pt>
                <c:pt idx="2">
                  <c:v>28</c:v>
                </c:pt>
                <c:pt idx="3">
                  <c:v>27.5</c:v>
                </c:pt>
                <c:pt idx="4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E3-4F4B-AE20-5A86DF46669A}"/>
            </c:ext>
          </c:extLst>
        </c:ser>
        <c:ser>
          <c:idx val="2"/>
          <c:order val="2"/>
          <c:tx>
            <c:strRef>
              <c:f>artificial_illumintn_litsknwhgl!$D$1</c:f>
              <c:strCache>
                <c:ptCount val="1"/>
                <c:pt idx="0">
                  <c:v>RobotShop MLX90640 (degree Celsius)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E3-4F4B-AE20-5A86DF4666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artificial_illumintn_litsknwhgl!$D$2:$D$6</c:f>
              <c:numCache>
                <c:formatCode>General</c:formatCode>
                <c:ptCount val="5"/>
                <c:pt idx="0">
                  <c:v>30.5</c:v>
                </c:pt>
                <c:pt idx="1">
                  <c:v>26.3</c:v>
                </c:pt>
                <c:pt idx="2">
                  <c:v>25.3</c:v>
                </c:pt>
                <c:pt idx="3">
                  <c:v>24.8</c:v>
                </c:pt>
                <c:pt idx="4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E3-4F4B-AE20-5A86DF46669A}"/>
            </c:ext>
          </c:extLst>
        </c:ser>
        <c:ser>
          <c:idx val="3"/>
          <c:order val="3"/>
          <c:tx>
            <c:strRef>
              <c:f>artificial_illumintn_litsknwhgl!$E$1</c:f>
              <c:strCache>
                <c:ptCount val="1"/>
                <c:pt idx="0">
                  <c:v>Actual Temp  (degree Celsius)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artificial_illumintn_litsknwhgl!$E$2:$E$6</c:f>
              <c:numCache>
                <c:formatCode>General</c:formatCode>
                <c:ptCount val="5"/>
                <c:pt idx="0">
                  <c:v>37.5</c:v>
                </c:pt>
                <c:pt idx="1">
                  <c:v>37.5</c:v>
                </c:pt>
                <c:pt idx="2">
                  <c:v>37.5</c:v>
                </c:pt>
                <c:pt idx="3">
                  <c:v>37.5</c:v>
                </c:pt>
                <c:pt idx="4">
                  <c:v>37.5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E3-4F4B-AE20-5A86DF46669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12580960"/>
        <c:axId val="812581680"/>
      </c:lineChart>
      <c:catAx>
        <c:axId val="81258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in Metres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81680"/>
        <c:crosses val="autoZero"/>
        <c:auto val="1"/>
        <c:lblAlgn val="ctr"/>
        <c:lblOffset val="100"/>
        <c:noMultiLvlLbl val="0"/>
      </c:catAx>
      <c:valAx>
        <c:axId val="81258168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5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from Pimoroni MLX90640 Thermal camera  (Degree Celsius),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readingdistancePimoroniMLX9064!$B$1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readingdistancePimoroniMLX9064!$B$2:$B$11</c:f>
              <c:numCache>
                <c:formatCode>General</c:formatCode>
                <c:ptCount val="10"/>
                <c:pt idx="0">
                  <c:v>30.1</c:v>
                </c:pt>
                <c:pt idx="1">
                  <c:v>29</c:v>
                </c:pt>
                <c:pt idx="2">
                  <c:v>29.7</c:v>
                </c:pt>
                <c:pt idx="3">
                  <c:v>28.1</c:v>
                </c:pt>
                <c:pt idx="4">
                  <c:v>29</c:v>
                </c:pt>
                <c:pt idx="5">
                  <c:v>29.8</c:v>
                </c:pt>
                <c:pt idx="6">
                  <c:v>30</c:v>
                </c:pt>
                <c:pt idx="7">
                  <c:v>30.5</c:v>
                </c:pt>
                <c:pt idx="8">
                  <c:v>28.8</c:v>
                </c:pt>
                <c:pt idx="9">
                  <c:v>29.5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1-46BE-BA62-E3B03316DD5A}"/>
            </c:ext>
          </c:extLst>
        </c:ser>
        <c:ser>
          <c:idx val="1"/>
          <c:order val="1"/>
          <c:tx>
            <c:strRef>
              <c:f>readingdistancePimoroniMLX9064!$C$1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readingdistancePimoroniMLX9064!$C$2:$C$11</c:f>
              <c:numCache>
                <c:formatCode>General</c:formatCode>
                <c:ptCount val="10"/>
                <c:pt idx="0">
                  <c:v>25.1</c:v>
                </c:pt>
                <c:pt idx="1">
                  <c:v>24.5</c:v>
                </c:pt>
                <c:pt idx="2">
                  <c:v>25.7</c:v>
                </c:pt>
                <c:pt idx="3">
                  <c:v>24.5</c:v>
                </c:pt>
                <c:pt idx="4">
                  <c:v>26.5</c:v>
                </c:pt>
                <c:pt idx="5">
                  <c:v>26.3</c:v>
                </c:pt>
                <c:pt idx="6">
                  <c:v>26.5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1-46BE-BA62-E3B03316DD5A}"/>
            </c:ext>
          </c:extLst>
        </c:ser>
        <c:ser>
          <c:idx val="2"/>
          <c:order val="2"/>
          <c:tx>
            <c:strRef>
              <c:f>readingdistancePimoroniMLX9064!$D$1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readingdistancePimoroniMLX9064!$D$2:$D$11</c:f>
              <c:numCache>
                <c:formatCode>General</c:formatCode>
                <c:ptCount val="10"/>
                <c:pt idx="0">
                  <c:v>23</c:v>
                </c:pt>
                <c:pt idx="1">
                  <c:v>23.5</c:v>
                </c:pt>
                <c:pt idx="2">
                  <c:v>23.8</c:v>
                </c:pt>
                <c:pt idx="3">
                  <c:v>23.5</c:v>
                </c:pt>
                <c:pt idx="4">
                  <c:v>24</c:v>
                </c:pt>
                <c:pt idx="5">
                  <c:v>24.5</c:v>
                </c:pt>
                <c:pt idx="6">
                  <c:v>24</c:v>
                </c:pt>
                <c:pt idx="7">
                  <c:v>24.3</c:v>
                </c:pt>
                <c:pt idx="8">
                  <c:v>24.1</c:v>
                </c:pt>
                <c:pt idx="9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B1-46BE-BA62-E3B03316DD5A}"/>
            </c:ext>
          </c:extLst>
        </c:ser>
        <c:ser>
          <c:idx val="3"/>
          <c:order val="3"/>
          <c:tx>
            <c:strRef>
              <c:f>readingdistancePimoroniMLX9064!$E$1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readingdistancePimoroniMLX9064!$E$2:$E$11</c:f>
              <c:numCache>
                <c:formatCode>General</c:formatCode>
                <c:ptCount val="10"/>
                <c:pt idx="0">
                  <c:v>22</c:v>
                </c:pt>
                <c:pt idx="1">
                  <c:v>22</c:v>
                </c:pt>
                <c:pt idx="2">
                  <c:v>21.8</c:v>
                </c:pt>
                <c:pt idx="3">
                  <c:v>22</c:v>
                </c:pt>
                <c:pt idx="4">
                  <c:v>23</c:v>
                </c:pt>
                <c:pt idx="5">
                  <c:v>23</c:v>
                </c:pt>
                <c:pt idx="6">
                  <c:v>22.5</c:v>
                </c:pt>
                <c:pt idx="7">
                  <c:v>22.25</c:v>
                </c:pt>
                <c:pt idx="8">
                  <c:v>23.8</c:v>
                </c:pt>
                <c:pt idx="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B1-46BE-BA62-E3B03316DD5A}"/>
            </c:ext>
          </c:extLst>
        </c:ser>
        <c:ser>
          <c:idx val="4"/>
          <c:order val="4"/>
          <c:tx>
            <c:strRef>
              <c:f>readingdistancePimoroniMLX9064!$F$1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readingdistancePimoroniMLX9064!$F$2:$F$11</c:f>
              <c:numCache>
                <c:formatCode>General</c:formatCode>
                <c:ptCount val="10"/>
                <c:pt idx="0">
                  <c:v>21</c:v>
                </c:pt>
                <c:pt idx="1">
                  <c:v>21.5</c:v>
                </c:pt>
                <c:pt idx="2">
                  <c:v>21.5</c:v>
                </c:pt>
                <c:pt idx="3">
                  <c:v>22</c:v>
                </c:pt>
                <c:pt idx="4">
                  <c:v>22.8</c:v>
                </c:pt>
                <c:pt idx="5">
                  <c:v>22.5</c:v>
                </c:pt>
                <c:pt idx="6">
                  <c:v>21.8</c:v>
                </c:pt>
                <c:pt idx="7">
                  <c:v>21.8</c:v>
                </c:pt>
                <c:pt idx="8">
                  <c:v>23.5</c:v>
                </c:pt>
                <c:pt idx="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B1-46BE-BA62-E3B03316DD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6100576"/>
        <c:axId val="556102736"/>
      </c:lineChart>
      <c:catAx>
        <c:axId val="556100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by Pimoroni Thermal Camera MLX90640  (degree Celsius)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02736"/>
        <c:crosses val="autoZero"/>
        <c:auto val="1"/>
        <c:lblAlgn val="ctr"/>
        <c:lblOffset val="100"/>
        <c:noMultiLvlLbl val="0"/>
      </c:catAx>
      <c:valAx>
        <c:axId val="556102736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10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RS PRO T-10 Thermal Camera (Degree Celsius),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'readingdistanceRSPROT-10'!$B$1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'readingdistanceRSPROT-10'!$B$2:$B$11</c:f>
              <c:numCache>
                <c:formatCode>General</c:formatCode>
                <c:ptCount val="10"/>
                <c:pt idx="0">
                  <c:v>29.7</c:v>
                </c:pt>
                <c:pt idx="1">
                  <c:v>29.3</c:v>
                </c:pt>
                <c:pt idx="2">
                  <c:v>30</c:v>
                </c:pt>
                <c:pt idx="3">
                  <c:v>30.4</c:v>
                </c:pt>
                <c:pt idx="4">
                  <c:v>29.7</c:v>
                </c:pt>
                <c:pt idx="5">
                  <c:v>29.9</c:v>
                </c:pt>
                <c:pt idx="6">
                  <c:v>30.4</c:v>
                </c:pt>
                <c:pt idx="7">
                  <c:v>30.3</c:v>
                </c:pt>
                <c:pt idx="8">
                  <c:v>30.5</c:v>
                </c:pt>
                <c:pt idx="9">
                  <c:v>30.8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D4-45B2-BBBA-BAF6889D9CC2}"/>
            </c:ext>
          </c:extLst>
        </c:ser>
        <c:ser>
          <c:idx val="1"/>
          <c:order val="1"/>
          <c:tx>
            <c:strRef>
              <c:f>'readingdistanceRSPROT-10'!$C$1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'readingdistanceRSPROT-10'!$C$2:$C$11</c:f>
              <c:numCache>
                <c:formatCode>General</c:formatCode>
                <c:ptCount val="10"/>
                <c:pt idx="0">
                  <c:v>29</c:v>
                </c:pt>
                <c:pt idx="1">
                  <c:v>29</c:v>
                </c:pt>
                <c:pt idx="2">
                  <c:v>29.8</c:v>
                </c:pt>
                <c:pt idx="3">
                  <c:v>29.2</c:v>
                </c:pt>
                <c:pt idx="4">
                  <c:v>28.7</c:v>
                </c:pt>
                <c:pt idx="5">
                  <c:v>29.2</c:v>
                </c:pt>
                <c:pt idx="6">
                  <c:v>28.6</c:v>
                </c:pt>
                <c:pt idx="7">
                  <c:v>28.9</c:v>
                </c:pt>
                <c:pt idx="8">
                  <c:v>28.5</c:v>
                </c:pt>
                <c:pt idx="9">
                  <c:v>28.9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D4-45B2-BBBA-BAF6889D9CC2}"/>
            </c:ext>
          </c:extLst>
        </c:ser>
        <c:ser>
          <c:idx val="2"/>
          <c:order val="2"/>
          <c:tx>
            <c:strRef>
              <c:f>'readingdistanceRSPROT-10'!$D$1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'readingdistanceRSPROT-10'!$D$2:$D$11</c:f>
              <c:numCache>
                <c:formatCode>General</c:formatCode>
                <c:ptCount val="10"/>
                <c:pt idx="0">
                  <c:v>24</c:v>
                </c:pt>
                <c:pt idx="1">
                  <c:v>27.8</c:v>
                </c:pt>
                <c:pt idx="2">
                  <c:v>28.9</c:v>
                </c:pt>
                <c:pt idx="3">
                  <c:v>27.5</c:v>
                </c:pt>
                <c:pt idx="4">
                  <c:v>27.9</c:v>
                </c:pt>
                <c:pt idx="5">
                  <c:v>28.4</c:v>
                </c:pt>
                <c:pt idx="6">
                  <c:v>26.2</c:v>
                </c:pt>
                <c:pt idx="7">
                  <c:v>27.5</c:v>
                </c:pt>
                <c:pt idx="8">
                  <c:v>28.1</c:v>
                </c:pt>
                <c:pt idx="9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D4-45B2-BBBA-BAF6889D9CC2}"/>
            </c:ext>
          </c:extLst>
        </c:ser>
        <c:ser>
          <c:idx val="3"/>
          <c:order val="3"/>
          <c:tx>
            <c:strRef>
              <c:f>'readingdistanceRSPROT-10'!$E$1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'readingdistanceRSPROT-10'!$E$2:$E$11</c:f>
              <c:numCache>
                <c:formatCode>General</c:formatCode>
                <c:ptCount val="10"/>
                <c:pt idx="0">
                  <c:v>24</c:v>
                </c:pt>
                <c:pt idx="1">
                  <c:v>27.8</c:v>
                </c:pt>
                <c:pt idx="2">
                  <c:v>27.3</c:v>
                </c:pt>
                <c:pt idx="3">
                  <c:v>26.2</c:v>
                </c:pt>
                <c:pt idx="4">
                  <c:v>26.3</c:v>
                </c:pt>
                <c:pt idx="5">
                  <c:v>27.5</c:v>
                </c:pt>
                <c:pt idx="6">
                  <c:v>24.6</c:v>
                </c:pt>
                <c:pt idx="7">
                  <c:v>26.3</c:v>
                </c:pt>
                <c:pt idx="8">
                  <c:v>27</c:v>
                </c:pt>
                <c:pt idx="9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D4-45B2-BBBA-BAF6889D9CC2}"/>
            </c:ext>
          </c:extLst>
        </c:ser>
        <c:ser>
          <c:idx val="4"/>
          <c:order val="4"/>
          <c:tx>
            <c:strRef>
              <c:f>'readingdistanceRSPROT-10'!$F$1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'readingdistanceRSPROT-10'!$F$2:$F$11</c:f>
              <c:numCache>
                <c:formatCode>General</c:formatCode>
                <c:ptCount val="10"/>
                <c:pt idx="0">
                  <c:v>24</c:v>
                </c:pt>
                <c:pt idx="1">
                  <c:v>25</c:v>
                </c:pt>
                <c:pt idx="2">
                  <c:v>26.2</c:v>
                </c:pt>
                <c:pt idx="3">
                  <c:v>24.2</c:v>
                </c:pt>
                <c:pt idx="4">
                  <c:v>26.1</c:v>
                </c:pt>
                <c:pt idx="5">
                  <c:v>26.4</c:v>
                </c:pt>
                <c:pt idx="6">
                  <c:v>22.9</c:v>
                </c:pt>
                <c:pt idx="7">
                  <c:v>23.6</c:v>
                </c:pt>
                <c:pt idx="8">
                  <c:v>23.5</c:v>
                </c:pt>
                <c:pt idx="9">
                  <c:v>26.5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D4-45B2-BBBA-BAF6889D9CC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1529072"/>
        <c:axId val="841529432"/>
      </c:lineChart>
      <c:catAx>
        <c:axId val="84152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by RS PRO T-10 Thermal Camera MLX90640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9432"/>
        <c:crosses val="autoZero"/>
        <c:auto val="1"/>
        <c:lblAlgn val="ctr"/>
        <c:lblOffset val="100"/>
        <c:noMultiLvlLbl val="0"/>
      </c:catAx>
      <c:valAx>
        <c:axId val="84152943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52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Temperature Reading with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RobotShop MLX90640 Camera (degree Celsius)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taken at interval of 1M to 5M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readingdistnceRobotshopMLX90640!$B$1</c:f>
              <c:strCache>
                <c:ptCount val="1"/>
                <c:pt idx="0">
                  <c:v>Temp Readings at 1 Metre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readingdistnceRobotshopMLX90640!$B$2:$B$11</c:f>
              <c:numCache>
                <c:formatCode>General</c:formatCode>
                <c:ptCount val="10"/>
                <c:pt idx="0">
                  <c:v>30</c:v>
                </c:pt>
                <c:pt idx="1">
                  <c:v>29.5</c:v>
                </c:pt>
                <c:pt idx="2">
                  <c:v>31.5</c:v>
                </c:pt>
                <c:pt idx="3">
                  <c:v>29</c:v>
                </c:pt>
                <c:pt idx="4">
                  <c:v>30</c:v>
                </c:pt>
                <c:pt idx="5">
                  <c:v>31</c:v>
                </c:pt>
                <c:pt idx="6">
                  <c:v>30.5</c:v>
                </c:pt>
                <c:pt idx="7">
                  <c:v>31.2</c:v>
                </c:pt>
                <c:pt idx="8">
                  <c:v>29.5</c:v>
                </c:pt>
                <c:pt idx="9">
                  <c:v>30.5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0-45D1-914B-E270659937DF}"/>
            </c:ext>
          </c:extLst>
        </c:ser>
        <c:ser>
          <c:idx val="1"/>
          <c:order val="1"/>
          <c:tx>
            <c:strRef>
              <c:f>readingdistnceRobotshopMLX90640!$C$1</c:f>
              <c:strCache>
                <c:ptCount val="1"/>
                <c:pt idx="0">
                  <c:v>Temp Readings at 2 Metres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readingdistnceRobotshopMLX90640!$C$2:$C$11</c:f>
              <c:numCache>
                <c:formatCode>General</c:formatCode>
                <c:ptCount val="10"/>
                <c:pt idx="0">
                  <c:v>24.9</c:v>
                </c:pt>
                <c:pt idx="1">
                  <c:v>25.75</c:v>
                </c:pt>
                <c:pt idx="2">
                  <c:v>27</c:v>
                </c:pt>
                <c:pt idx="3">
                  <c:v>25.6</c:v>
                </c:pt>
                <c:pt idx="4">
                  <c:v>26.8</c:v>
                </c:pt>
                <c:pt idx="5">
                  <c:v>27.5</c:v>
                </c:pt>
                <c:pt idx="6">
                  <c:v>26</c:v>
                </c:pt>
                <c:pt idx="7">
                  <c:v>26</c:v>
                </c:pt>
                <c:pt idx="8">
                  <c:v>26.3</c:v>
                </c:pt>
                <c:pt idx="9">
                  <c:v>26.3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0-45D1-914B-E270659937DF}"/>
            </c:ext>
          </c:extLst>
        </c:ser>
        <c:ser>
          <c:idx val="2"/>
          <c:order val="2"/>
          <c:tx>
            <c:strRef>
              <c:f>readingdistnceRobotshopMLX90640!$D$1</c:f>
              <c:strCache>
                <c:ptCount val="1"/>
                <c:pt idx="0">
                  <c:v>Temp Readings at 3 Metres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readingdistnceRobotshopMLX90640!$D$2:$D$11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24.3</c:v>
                </c:pt>
                <c:pt idx="3">
                  <c:v>24</c:v>
                </c:pt>
                <c:pt idx="4">
                  <c:v>24.5</c:v>
                </c:pt>
                <c:pt idx="5">
                  <c:v>25</c:v>
                </c:pt>
                <c:pt idx="6">
                  <c:v>24.5</c:v>
                </c:pt>
                <c:pt idx="7">
                  <c:v>25</c:v>
                </c:pt>
                <c:pt idx="8">
                  <c:v>25</c:v>
                </c:pt>
                <c:pt idx="9">
                  <c:v>25.3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A0-45D1-914B-E270659937DF}"/>
            </c:ext>
          </c:extLst>
        </c:ser>
        <c:ser>
          <c:idx val="3"/>
          <c:order val="3"/>
          <c:tx>
            <c:strRef>
              <c:f>readingdistnceRobotshopMLX90640!$E$1</c:f>
              <c:strCache>
                <c:ptCount val="1"/>
                <c:pt idx="0">
                  <c:v>Temp Readings at 4 Metres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readingdistnceRobotshopMLX90640!$E$2:$E$11</c:f>
              <c:numCache>
                <c:formatCode>General</c:formatCode>
                <c:ptCount val="10"/>
                <c:pt idx="0">
                  <c:v>21</c:v>
                </c:pt>
                <c:pt idx="1">
                  <c:v>24</c:v>
                </c:pt>
                <c:pt idx="2">
                  <c:v>22.5</c:v>
                </c:pt>
                <c:pt idx="3">
                  <c:v>22.5</c:v>
                </c:pt>
                <c:pt idx="4">
                  <c:v>24.4</c:v>
                </c:pt>
                <c:pt idx="5">
                  <c:v>24.5</c:v>
                </c:pt>
                <c:pt idx="6">
                  <c:v>23</c:v>
                </c:pt>
                <c:pt idx="7">
                  <c:v>24</c:v>
                </c:pt>
                <c:pt idx="8">
                  <c:v>24.3</c:v>
                </c:pt>
                <c:pt idx="9">
                  <c:v>24.8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A0-45D1-914B-E270659937DF}"/>
            </c:ext>
          </c:extLst>
        </c:ser>
        <c:ser>
          <c:idx val="4"/>
          <c:order val="4"/>
          <c:tx>
            <c:strRef>
              <c:f>readingdistnceRobotshopMLX90640!$F$1</c:f>
              <c:strCache>
                <c:ptCount val="1"/>
                <c:pt idx="0">
                  <c:v>Temp Readings at 5 Metres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readingdistnceRobotshopMLX90640!$F$2:$F$11</c:f>
              <c:numCache>
                <c:formatCode>General</c:formatCode>
                <c:ptCount val="10"/>
                <c:pt idx="0">
                  <c:v>21</c:v>
                </c:pt>
                <c:pt idx="1">
                  <c:v>22.5</c:v>
                </c:pt>
                <c:pt idx="2">
                  <c:v>22</c:v>
                </c:pt>
                <c:pt idx="3">
                  <c:v>22</c:v>
                </c:pt>
                <c:pt idx="4">
                  <c:v>23</c:v>
                </c:pt>
                <c:pt idx="5">
                  <c:v>23.8</c:v>
                </c:pt>
                <c:pt idx="6">
                  <c:v>22.5</c:v>
                </c:pt>
                <c:pt idx="7">
                  <c:v>23.3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A0-45D1-914B-E270659937D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8352944"/>
        <c:axId val="431468192"/>
      </c:lineChart>
      <c:catAx>
        <c:axId val="76835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Categories of Temp reading RobotShop MLX90640 Camera  (degree Celsius)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468192"/>
        <c:crosses val="autoZero"/>
        <c:auto val="1"/>
        <c:lblAlgn val="ctr"/>
        <c:lblOffset val="100"/>
        <c:noMultiLvlLbl val="0"/>
      </c:catAx>
      <c:valAx>
        <c:axId val="431468192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  <a:r>
                  <a:rPr lang="en-US" baseline="0"/>
                  <a:t> in degree celsius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35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Average for each thermal camera at each distance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for each categories of Temp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Avarageateachdistance!$B$1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Avarageateachdistance!$B$2:$B$6</c:f>
              <c:numCache>
                <c:formatCode>General</c:formatCode>
                <c:ptCount val="5"/>
                <c:pt idx="0">
                  <c:v>29.45</c:v>
                </c:pt>
                <c:pt idx="1">
                  <c:v>25.56</c:v>
                </c:pt>
                <c:pt idx="2">
                  <c:v>23.92</c:v>
                </c:pt>
                <c:pt idx="3">
                  <c:v>22.615000000000002</c:v>
                </c:pt>
                <c:pt idx="4">
                  <c:v>22.140000000000004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AB-4C05-9E5A-0D4C6224A944}"/>
            </c:ext>
          </c:extLst>
        </c:ser>
        <c:ser>
          <c:idx val="1"/>
          <c:order val="1"/>
          <c:tx>
            <c:strRef>
              <c:f>Avarageateachdistance!$C$1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AB-4C05-9E5A-0D4C6224A9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Avarageateachdistance!$C$2:$C$6</c:f>
              <c:numCache>
                <c:formatCode>General</c:formatCode>
                <c:ptCount val="5"/>
                <c:pt idx="0">
                  <c:v>30.100000000000005</c:v>
                </c:pt>
                <c:pt idx="1">
                  <c:v>28.979999999999997</c:v>
                </c:pt>
                <c:pt idx="2">
                  <c:v>27.429999999999996</c:v>
                </c:pt>
                <c:pt idx="3">
                  <c:v>26.45</c:v>
                </c:pt>
                <c:pt idx="4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AB-4C05-9E5A-0D4C6224A944}"/>
            </c:ext>
          </c:extLst>
        </c:ser>
        <c:ser>
          <c:idx val="2"/>
          <c:order val="2"/>
          <c:tx>
            <c:strRef>
              <c:f>Avarageateachdistance!$D$1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0"/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AB-4C05-9E5A-0D4C6224A9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Avarageateachdistance!$D$2:$D$6</c:f>
              <c:numCache>
                <c:formatCode>General</c:formatCode>
                <c:ptCount val="5"/>
                <c:pt idx="0">
                  <c:v>30.27</c:v>
                </c:pt>
                <c:pt idx="1">
                  <c:v>26.215000000000003</c:v>
                </c:pt>
                <c:pt idx="2">
                  <c:v>24.46</c:v>
                </c:pt>
                <c:pt idx="3">
                  <c:v>23.500000000000004</c:v>
                </c:pt>
                <c:pt idx="4">
                  <c:v>22.810000000000002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AB-4C05-9E5A-0D4C6224A94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8638648"/>
        <c:axId val="828634328"/>
      </c:lineChart>
      <c:catAx>
        <c:axId val="828638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34328"/>
        <c:crosses val="autoZero"/>
        <c:auto val="1"/>
        <c:lblAlgn val="ctr"/>
        <c:lblOffset val="100"/>
        <c:noMultiLvlLbl val="0"/>
      </c:catAx>
      <c:valAx>
        <c:axId val="828634328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Aveage at each Distance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638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Standard Deviation (SD) of each Thermal Camera at each distance for each categories of Temp readings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SDateachdiatnce!$B$1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9E7-4ABF-BA4F-808E992351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SDateachdiatnce!$B$2:$B$6</c:f>
              <c:numCache>
                <c:formatCode>General</c:formatCode>
                <c:ptCount val="5"/>
                <c:pt idx="0">
                  <c:v>0.71995370221517241</c:v>
                </c:pt>
                <c:pt idx="1">
                  <c:v>0.73060097028253224</c:v>
                </c:pt>
                <c:pt idx="2">
                  <c:v>0.48027769744874349</c:v>
                </c:pt>
                <c:pt idx="3">
                  <c:v>0.74909204300198584</c:v>
                </c:pt>
                <c:pt idx="4">
                  <c:v>0.78343970908920479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7-4ABF-BA4F-808E9923519C}"/>
            </c:ext>
          </c:extLst>
        </c:ser>
        <c:ser>
          <c:idx val="1"/>
          <c:order val="1"/>
          <c:tx>
            <c:strRef>
              <c:f>SDateachdiatnce!$C$1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SDateachdiatnce!$C$2:$C$6</c:f>
              <c:numCache>
                <c:formatCode>General</c:formatCode>
                <c:ptCount val="5"/>
                <c:pt idx="0">
                  <c:v>0.45704364002673625</c:v>
                </c:pt>
                <c:pt idx="1">
                  <c:v>0.37058512292499463</c:v>
                </c:pt>
                <c:pt idx="2">
                  <c:v>1.3952697867358042</c:v>
                </c:pt>
                <c:pt idx="3">
                  <c:v>1.2730104302618872</c:v>
                </c:pt>
                <c:pt idx="4">
                  <c:v>1.3688600285557972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7-4ABF-BA4F-808E9923519C}"/>
            </c:ext>
          </c:extLst>
        </c:ser>
        <c:ser>
          <c:idx val="2"/>
          <c:order val="2"/>
          <c:tx>
            <c:strRef>
              <c:f>SDateachdiatnce!$D$1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dLbl>
              <c:idx val="3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9E7-4ABF-BA4F-808E992351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SDateachdiatnce!$D$2:$D$6</c:f>
              <c:numCache>
                <c:formatCode>General</c:formatCode>
                <c:ptCount val="5"/>
                <c:pt idx="0">
                  <c:v>0.81383864084555069</c:v>
                </c:pt>
                <c:pt idx="1">
                  <c:v>0.74835003693310398</c:v>
                </c:pt>
                <c:pt idx="2">
                  <c:v>0.68019605016985107</c:v>
                </c:pt>
                <c:pt idx="3">
                  <c:v>1.2083045973594573</c:v>
                </c:pt>
                <c:pt idx="4">
                  <c:v>0.99269554468852372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7-4ABF-BA4F-808E992351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59395624"/>
        <c:axId val="559392384"/>
      </c:lineChart>
      <c:catAx>
        <c:axId val="559395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In Metre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92384"/>
        <c:crosses val="autoZero"/>
        <c:auto val="1"/>
        <c:lblAlgn val="ctr"/>
        <c:lblOffset val="100"/>
        <c:noMultiLvlLbl val="0"/>
      </c:catAx>
      <c:valAx>
        <c:axId val="55939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SD at each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395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Avarage/SD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Average_SD!$B$2</c:f>
              <c:strCache>
                <c:ptCount val="1"/>
                <c:pt idx="0">
                  <c:v>Pimoroni MLX90640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Average_SD!$J$3:$J$7</c:f>
                <c:numCache>
                  <c:formatCode>General</c:formatCode>
                  <c:ptCount val="5"/>
                  <c:pt idx="0">
                    <c:v>0.81383864084555069</c:v>
                  </c:pt>
                  <c:pt idx="1">
                    <c:v>0.74835003693310398</c:v>
                  </c:pt>
                  <c:pt idx="2">
                    <c:v>0.68019605016985107</c:v>
                  </c:pt>
                  <c:pt idx="3">
                    <c:v>1.2083045973594573</c:v>
                  </c:pt>
                  <c:pt idx="4">
                    <c:v>0.99269554468852372</c:v>
                  </c:pt>
                </c:numCache>
              </c:numRef>
            </c:plus>
            <c:minus>
              <c:numRef>
                <c:f>Average_SD!$J$3:$J$7</c:f>
                <c:numCache>
                  <c:formatCode>General</c:formatCode>
                  <c:ptCount val="5"/>
                  <c:pt idx="0">
                    <c:v>0.81383864084555069</c:v>
                  </c:pt>
                  <c:pt idx="1">
                    <c:v>0.74835003693310398</c:v>
                  </c:pt>
                  <c:pt idx="2">
                    <c:v>0.68019605016985107</c:v>
                  </c:pt>
                  <c:pt idx="3">
                    <c:v>1.2083045973594573</c:v>
                  </c:pt>
                  <c:pt idx="4">
                    <c:v>0.99269554468852372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accent1">
                    <a:alpha val="88000"/>
                  </a:schemeClr>
                </a:solidFill>
                <a:round/>
              </a:ln>
              <a:effectLst/>
            </c:spPr>
          </c:errBars>
          <c:val>
            <c:numRef>
              <c:f>Average_SD!$B$3:$B$7</c:f>
              <c:numCache>
                <c:formatCode>General</c:formatCode>
                <c:ptCount val="5"/>
                <c:pt idx="0">
                  <c:v>29.45</c:v>
                </c:pt>
                <c:pt idx="1">
                  <c:v>25.56</c:v>
                </c:pt>
                <c:pt idx="2">
                  <c:v>23.92</c:v>
                </c:pt>
                <c:pt idx="3">
                  <c:v>22.615000000000002</c:v>
                </c:pt>
                <c:pt idx="4">
                  <c:v>22.140000000000004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A-416E-9DDE-63A900A70C92}"/>
            </c:ext>
          </c:extLst>
        </c:ser>
        <c:ser>
          <c:idx val="1"/>
          <c:order val="1"/>
          <c:tx>
            <c:strRef>
              <c:f>Average_SD!$C$2</c:f>
              <c:strCache>
                <c:ptCount val="1"/>
                <c:pt idx="0">
                  <c:v> RS PRO T-10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Average_SD!$H$3:$H$7</c:f>
                <c:numCache>
                  <c:formatCode>General</c:formatCode>
                  <c:ptCount val="5"/>
                  <c:pt idx="0">
                    <c:v>0.71995370221517241</c:v>
                  </c:pt>
                  <c:pt idx="1">
                    <c:v>0.73060097028253224</c:v>
                  </c:pt>
                  <c:pt idx="2">
                    <c:v>0.48027769744874349</c:v>
                  </c:pt>
                  <c:pt idx="3">
                    <c:v>0.74909204300198584</c:v>
                  </c:pt>
                  <c:pt idx="4">
                    <c:v>0.78343970908920479</c:v>
                  </c:pt>
                </c:numCache>
              </c:numRef>
            </c:plus>
            <c:minus>
              <c:numRef>
                <c:f>Average_SD!$H$3:$H$7</c:f>
                <c:numCache>
                  <c:formatCode>General</c:formatCode>
                  <c:ptCount val="5"/>
                  <c:pt idx="0">
                    <c:v>0.71995370221517241</c:v>
                  </c:pt>
                  <c:pt idx="1">
                    <c:v>0.73060097028253224</c:v>
                  </c:pt>
                  <c:pt idx="2">
                    <c:v>0.48027769744874349</c:v>
                  </c:pt>
                  <c:pt idx="3">
                    <c:v>0.74909204300198584</c:v>
                  </c:pt>
                  <c:pt idx="4">
                    <c:v>0.78343970908920479</c:v>
                  </c:pt>
                </c:numCache>
              </c:numRef>
            </c:minus>
            <c:spPr>
              <a:noFill/>
              <a:ln w="38100" cap="flat" cmpd="sng" algn="ctr">
                <a:solidFill>
                  <a:schemeClr val="accent2">
                    <a:alpha val="87000"/>
                  </a:schemeClr>
                </a:solidFill>
                <a:round/>
              </a:ln>
              <a:effectLst/>
            </c:spPr>
          </c:errBars>
          <c:val>
            <c:numRef>
              <c:f>Average_SD!$C$3:$C$7</c:f>
              <c:numCache>
                <c:formatCode>General</c:formatCode>
                <c:ptCount val="5"/>
                <c:pt idx="0">
                  <c:v>30.100000000000005</c:v>
                </c:pt>
                <c:pt idx="1">
                  <c:v>28.979999999999997</c:v>
                </c:pt>
                <c:pt idx="2">
                  <c:v>27.429999999999996</c:v>
                </c:pt>
                <c:pt idx="3">
                  <c:v>26.45</c:v>
                </c:pt>
                <c:pt idx="4">
                  <c:v>24.84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A-416E-9DDE-63A900A70C92}"/>
            </c:ext>
          </c:extLst>
        </c:ser>
        <c:ser>
          <c:idx val="2"/>
          <c:order val="2"/>
          <c:tx>
            <c:strRef>
              <c:f>Average_SD!$D$2</c:f>
              <c:strCache>
                <c:ptCount val="1"/>
                <c:pt idx="0">
                  <c:v>Robotshop MLX90640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Average_SD!$I$3:$I$7</c:f>
                <c:numCache>
                  <c:formatCode>General</c:formatCode>
                  <c:ptCount val="5"/>
                  <c:pt idx="0">
                    <c:v>0.45704364002673625</c:v>
                  </c:pt>
                  <c:pt idx="1">
                    <c:v>0.37058512292499463</c:v>
                  </c:pt>
                  <c:pt idx="2">
                    <c:v>1.3952697867358042</c:v>
                  </c:pt>
                  <c:pt idx="3">
                    <c:v>1.2730104302618872</c:v>
                  </c:pt>
                  <c:pt idx="4">
                    <c:v>1.3688600285557972</c:v>
                  </c:pt>
                </c:numCache>
              </c:numRef>
            </c:plus>
            <c:minus>
              <c:numRef>
                <c:f>Average_SD!$I$3:$I$7</c:f>
                <c:numCache>
                  <c:formatCode>General</c:formatCode>
                  <c:ptCount val="5"/>
                  <c:pt idx="0">
                    <c:v>0.45704364002673625</c:v>
                  </c:pt>
                  <c:pt idx="1">
                    <c:v>0.37058512292499463</c:v>
                  </c:pt>
                  <c:pt idx="2">
                    <c:v>1.3952697867358042</c:v>
                  </c:pt>
                  <c:pt idx="3">
                    <c:v>1.2730104302618872</c:v>
                  </c:pt>
                  <c:pt idx="4">
                    <c:v>1.3688600285557972</c:v>
                  </c:pt>
                </c:numCache>
              </c:numRef>
            </c:minus>
            <c:spPr>
              <a:noFill/>
              <a:ln w="38100" cap="flat" cmpd="sng" algn="ctr">
                <a:solidFill>
                  <a:srgbClr val="FF0000">
                    <a:alpha val="88000"/>
                  </a:srgbClr>
                </a:solidFill>
                <a:round/>
              </a:ln>
              <a:effectLst/>
            </c:spPr>
          </c:errBars>
          <c:val>
            <c:numRef>
              <c:f>Average_SD!$D$3:$D$7</c:f>
              <c:numCache>
                <c:formatCode>General</c:formatCode>
                <c:ptCount val="5"/>
                <c:pt idx="0">
                  <c:v>30.27</c:v>
                </c:pt>
                <c:pt idx="1">
                  <c:v>26.215000000000003</c:v>
                </c:pt>
                <c:pt idx="2">
                  <c:v>24.46</c:v>
                </c:pt>
                <c:pt idx="3">
                  <c:v>23.500000000000004</c:v>
                </c:pt>
                <c:pt idx="4">
                  <c:v>22.810000000000002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A-416E-9DDE-63A900A70C9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1465160"/>
        <c:axId val="841465520"/>
      </c:lineChart>
      <c:catAx>
        <c:axId val="8414651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in Metres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5520"/>
        <c:crosses val="autoZero"/>
        <c:auto val="1"/>
        <c:lblAlgn val="ctr"/>
        <c:lblOffset val="100"/>
        <c:noMultiLvlLbl val="0"/>
      </c:catAx>
      <c:valAx>
        <c:axId val="841465520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/ Mean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465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900113</xdr:colOff>
      <xdr:row>9</xdr:row>
      <xdr:rowOff>164305</xdr:rowOff>
    </xdr:from>
    <xdr:to>
      <xdr:col>6</xdr:col>
      <xdr:colOff>504825</xdr:colOff>
      <xdr:row>37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5B44F9-C099-7F03-DF38-34EC8AFF8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959641</xdr:colOff>
      <xdr:row>9</xdr:row>
      <xdr:rowOff>154781</xdr:rowOff>
    </xdr:from>
    <xdr:to>
      <xdr:col>6</xdr:col>
      <xdr:colOff>1057274</xdr:colOff>
      <xdr:row>35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A5ECD8-0920-8FD7-860D-4D1319C46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969168</xdr:colOff>
      <xdr:row>11</xdr:row>
      <xdr:rowOff>169067</xdr:rowOff>
    </xdr:from>
    <xdr:to>
      <xdr:col>6</xdr:col>
      <xdr:colOff>781050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CF1CC-2878-18DC-66E3-CB06D9A9A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773904</xdr:colOff>
      <xdr:row>10</xdr:row>
      <xdr:rowOff>11904</xdr:rowOff>
    </xdr:from>
    <xdr:to>
      <xdr:col>6</xdr:col>
      <xdr:colOff>242888</xdr:colOff>
      <xdr:row>39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650051-0F6B-B275-3A4F-D0A018736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1512092</xdr:colOff>
      <xdr:row>11</xdr:row>
      <xdr:rowOff>11904</xdr:rowOff>
    </xdr:from>
    <xdr:to>
      <xdr:col>6</xdr:col>
      <xdr:colOff>914399</xdr:colOff>
      <xdr:row>40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27B87D-CB8D-52A0-5748-77CC7A26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11</xdr:row>
      <xdr:rowOff>16667</xdr:rowOff>
    </xdr:from>
    <xdr:to>
      <xdr:col>6</xdr:col>
      <xdr:colOff>671513</xdr:colOff>
      <xdr:row>42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C93981-86C6-BC35-8F38-AAA117DCCC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897730</xdr:colOff>
      <xdr:row>10</xdr:row>
      <xdr:rowOff>2380</xdr:rowOff>
    </xdr:from>
    <xdr:to>
      <xdr:col>6</xdr:col>
      <xdr:colOff>461962</xdr:colOff>
      <xdr:row>37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7C3409-50A9-611D-4550-D0F0CF2C6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11</xdr:row>
      <xdr:rowOff>2380</xdr:rowOff>
    </xdr:from>
    <xdr:to>
      <xdr:col>6</xdr:col>
      <xdr:colOff>257175</xdr:colOff>
      <xdr:row>38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0E0E68-7245-3D5E-1B77-CCE69D616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1045367</xdr:colOff>
      <xdr:row>12</xdr:row>
      <xdr:rowOff>21430</xdr:rowOff>
    </xdr:from>
    <xdr:to>
      <xdr:col>6</xdr:col>
      <xdr:colOff>928687</xdr:colOff>
      <xdr:row>41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BA242-E140-ACAB-3F47-B8B3140CD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1054892</xdr:colOff>
      <xdr:row>10</xdr:row>
      <xdr:rowOff>178593</xdr:rowOff>
    </xdr:from>
    <xdr:to>
      <xdr:col>6</xdr:col>
      <xdr:colOff>552449</xdr:colOff>
      <xdr:row>37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44E6F-3AE0-3937-F5B0-F2CFCE65C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1090613</xdr:colOff>
      <xdr:row>20</xdr:row>
      <xdr:rowOff>54769</xdr:rowOff>
    </xdr:from>
    <xdr:to>
      <xdr:col>5</xdr:col>
      <xdr:colOff>1143000</xdr:colOff>
      <xdr:row>50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EBFA2-19D5-6415-2295-E2729AE35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859629</xdr:colOff>
      <xdr:row>19</xdr:row>
      <xdr:rowOff>145255</xdr:rowOff>
    </xdr:from>
    <xdr:to>
      <xdr:col>5</xdr:col>
      <xdr:colOff>947736</xdr:colOff>
      <xdr:row>47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63A59A-9EBF-7368-6532-FD8B0A07F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1426366</xdr:colOff>
      <xdr:row>17</xdr:row>
      <xdr:rowOff>135728</xdr:rowOff>
    </xdr:from>
    <xdr:to>
      <xdr:col>5</xdr:col>
      <xdr:colOff>914399</xdr:colOff>
      <xdr:row>46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0D709-8A36-DA26-A37F-70C77F8A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707229</xdr:colOff>
      <xdr:row>9</xdr:row>
      <xdr:rowOff>159542</xdr:rowOff>
    </xdr:from>
    <xdr:to>
      <xdr:col>13</xdr:col>
      <xdr:colOff>538162</xdr:colOff>
      <xdr:row>39</xdr:row>
      <xdr:rowOff>119063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C16DA4-B369-5D9E-3FB8-FB1139649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614364</xdr:colOff>
      <xdr:row>8</xdr:row>
      <xdr:rowOff>164304</xdr:rowOff>
    </xdr:from>
    <xdr:to>
      <xdr:col>13</xdr:col>
      <xdr:colOff>176213</xdr:colOff>
      <xdr:row>36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2E062-217E-1C80-D955-CF295AF63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573880</xdr:colOff>
      <xdr:row>8</xdr:row>
      <xdr:rowOff>97629</xdr:rowOff>
    </xdr:from>
    <xdr:to>
      <xdr:col>10</xdr:col>
      <xdr:colOff>38099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DD36E8-7991-F02F-FA59-EEBCA9B56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8DCDB-AA04-4BD8-BD9E-6199D7DA6EC7}">
  <dimension ref="A1:G8"/>
  <sheetViews>
    <sheetView workbookViewId="0">
      <selection activeCell="B2" sqref="B2"/>
    </sheetView>
  </sheetViews>
  <sheetFormatPr defaultRowHeight="14.4" x14ac:dyDescent="0.3"/>
  <cols>
    <col min="1" max="1" width="15.21875" customWidth="1"/>
    <col min="2" max="2" width="30.5546875" customWidth="1"/>
    <col min="3" max="3" width="26.88671875" customWidth="1"/>
    <col min="4" max="4" width="35.77734375" customWidth="1"/>
    <col min="5" max="5" width="24.5546875" customWidth="1"/>
    <col min="6" max="6" width="13.77734375" customWidth="1"/>
    <col min="7" max="7" width="27.2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7</v>
      </c>
      <c r="B2">
        <v>30.1</v>
      </c>
      <c r="C2">
        <v>29.7</v>
      </c>
      <c r="D2">
        <v>30</v>
      </c>
      <c r="E2">
        <v>36.5</v>
      </c>
      <c r="F2">
        <v>1</v>
      </c>
      <c r="G2">
        <v>16.5</v>
      </c>
    </row>
    <row r="3" spans="1:7" x14ac:dyDescent="0.3">
      <c r="A3" t="s">
        <v>8</v>
      </c>
      <c r="B3">
        <v>25.1</v>
      </c>
      <c r="C3">
        <v>29</v>
      </c>
      <c r="D3">
        <v>24.9</v>
      </c>
      <c r="E3">
        <v>36.5</v>
      </c>
      <c r="F3">
        <v>2</v>
      </c>
      <c r="G3">
        <v>16.5</v>
      </c>
    </row>
    <row r="4" spans="1:7" x14ac:dyDescent="0.3">
      <c r="A4" t="s">
        <v>9</v>
      </c>
      <c r="B4">
        <v>23</v>
      </c>
      <c r="C4">
        <v>24</v>
      </c>
      <c r="D4">
        <v>23</v>
      </c>
      <c r="E4">
        <v>36.5</v>
      </c>
      <c r="F4">
        <v>3</v>
      </c>
      <c r="G4">
        <v>16.5</v>
      </c>
    </row>
    <row r="5" spans="1:7" x14ac:dyDescent="0.3">
      <c r="A5" t="s">
        <v>10</v>
      </c>
      <c r="B5">
        <v>22</v>
      </c>
      <c r="C5">
        <v>24</v>
      </c>
      <c r="D5">
        <v>21</v>
      </c>
      <c r="E5">
        <v>36.5</v>
      </c>
      <c r="F5">
        <v>4</v>
      </c>
      <c r="G5">
        <v>16.5</v>
      </c>
    </row>
    <row r="6" spans="1:7" x14ac:dyDescent="0.3">
      <c r="A6" t="s">
        <v>11</v>
      </c>
      <c r="B6">
        <v>21</v>
      </c>
      <c r="C6">
        <v>24</v>
      </c>
      <c r="D6">
        <v>21</v>
      </c>
      <c r="E6">
        <v>36.5</v>
      </c>
      <c r="F6">
        <v>5</v>
      </c>
      <c r="G6">
        <v>16.5</v>
      </c>
    </row>
    <row r="8" spans="1:7" x14ac:dyDescent="0.3">
      <c r="B8" t="s">
        <v>12</v>
      </c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8DFE-1C5D-4A63-A63F-DDFFCFA52B87}">
  <dimension ref="A1:G9"/>
  <sheetViews>
    <sheetView workbookViewId="0">
      <selection activeCell="G31" sqref="G31"/>
    </sheetView>
  </sheetViews>
  <sheetFormatPr defaultRowHeight="14.4" x14ac:dyDescent="0.3"/>
  <cols>
    <col min="1" max="1" width="14.5546875" customWidth="1"/>
    <col min="2" max="2" width="29.44140625" customWidth="1"/>
    <col min="3" max="3" width="24.44140625" customWidth="1"/>
    <col min="4" max="4" width="32" customWidth="1"/>
    <col min="5" max="5" width="24.21875" customWidth="1"/>
    <col min="6" max="6" width="12.5546875" customWidth="1"/>
    <col min="7" max="7" width="27.441406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13</v>
      </c>
      <c r="B2">
        <v>29</v>
      </c>
      <c r="C2">
        <v>29.3</v>
      </c>
      <c r="D2">
        <v>29.5</v>
      </c>
      <c r="E2">
        <v>35.700000000000003</v>
      </c>
      <c r="F2">
        <v>1</v>
      </c>
      <c r="G2">
        <v>16</v>
      </c>
    </row>
    <row r="3" spans="1:7" x14ac:dyDescent="0.3">
      <c r="A3" t="s">
        <v>14</v>
      </c>
      <c r="B3">
        <v>24.5</v>
      </c>
      <c r="C3">
        <v>29</v>
      </c>
      <c r="D3">
        <v>25.75</v>
      </c>
      <c r="E3">
        <v>35.700000000000003</v>
      </c>
      <c r="F3">
        <v>2</v>
      </c>
      <c r="G3">
        <v>16</v>
      </c>
    </row>
    <row r="4" spans="1:7" x14ac:dyDescent="0.3">
      <c r="A4" t="s">
        <v>15</v>
      </c>
      <c r="B4">
        <v>23.5</v>
      </c>
      <c r="C4">
        <v>27.8</v>
      </c>
      <c r="D4">
        <v>24</v>
      </c>
      <c r="E4">
        <v>35.700000000000003</v>
      </c>
      <c r="F4">
        <v>3</v>
      </c>
      <c r="G4">
        <v>16</v>
      </c>
    </row>
    <row r="5" spans="1:7" x14ac:dyDescent="0.3">
      <c r="A5" t="s">
        <v>16</v>
      </c>
      <c r="B5">
        <v>22</v>
      </c>
      <c r="C5">
        <v>27.8</v>
      </c>
      <c r="D5">
        <v>24</v>
      </c>
      <c r="E5">
        <v>35.700000000000003</v>
      </c>
      <c r="F5">
        <v>4</v>
      </c>
      <c r="G5">
        <v>16</v>
      </c>
    </row>
    <row r="6" spans="1:7" x14ac:dyDescent="0.3">
      <c r="A6" t="s">
        <v>17</v>
      </c>
      <c r="B6">
        <v>21.5</v>
      </c>
      <c r="C6">
        <v>25</v>
      </c>
      <c r="D6">
        <v>22.5</v>
      </c>
      <c r="E6">
        <v>35.700000000000003</v>
      </c>
      <c r="F6">
        <v>5</v>
      </c>
      <c r="G6">
        <v>16</v>
      </c>
    </row>
    <row r="9" spans="1:7" x14ac:dyDescent="0.3">
      <c r="B9" t="s">
        <v>18</v>
      </c>
    </row>
  </sheetData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F9663-E017-4782-A671-81BA660099E4}">
  <dimension ref="A1:G10"/>
  <sheetViews>
    <sheetView workbookViewId="0">
      <selection activeCell="G17" sqref="G17"/>
    </sheetView>
  </sheetViews>
  <sheetFormatPr defaultRowHeight="14.4" x14ac:dyDescent="0.3"/>
  <cols>
    <col min="1" max="1" width="14.6640625" customWidth="1"/>
    <col min="2" max="2" width="30.33203125" customWidth="1"/>
    <col min="3" max="3" width="23.77734375" customWidth="1"/>
    <col min="4" max="4" width="31" customWidth="1"/>
    <col min="5" max="5" width="24.109375" customWidth="1"/>
    <col min="6" max="6" width="12.5546875" customWidth="1"/>
    <col min="7" max="7" width="26.77734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13</v>
      </c>
      <c r="B2">
        <v>29.7</v>
      </c>
      <c r="C2">
        <v>30</v>
      </c>
      <c r="D2">
        <v>31.5</v>
      </c>
      <c r="E2">
        <v>35.700000000000003</v>
      </c>
      <c r="F2">
        <v>1</v>
      </c>
      <c r="G2">
        <v>16</v>
      </c>
    </row>
    <row r="3" spans="1:7" x14ac:dyDescent="0.3">
      <c r="A3" t="s">
        <v>14</v>
      </c>
      <c r="B3">
        <v>25.7</v>
      </c>
      <c r="C3">
        <v>29.8</v>
      </c>
      <c r="D3">
        <v>27</v>
      </c>
      <c r="E3">
        <v>35.700000000000003</v>
      </c>
      <c r="F3">
        <v>2</v>
      </c>
      <c r="G3">
        <v>16</v>
      </c>
    </row>
    <row r="4" spans="1:7" x14ac:dyDescent="0.3">
      <c r="A4" t="s">
        <v>15</v>
      </c>
      <c r="B4">
        <v>23.8</v>
      </c>
      <c r="C4">
        <v>28.9</v>
      </c>
      <c r="D4">
        <v>24.3</v>
      </c>
      <c r="E4">
        <v>35.700000000000003</v>
      </c>
      <c r="F4">
        <v>3</v>
      </c>
      <c r="G4">
        <v>16</v>
      </c>
    </row>
    <row r="5" spans="1:7" x14ac:dyDescent="0.3">
      <c r="A5" t="s">
        <v>16</v>
      </c>
      <c r="B5">
        <v>21.8</v>
      </c>
      <c r="C5">
        <v>27.3</v>
      </c>
      <c r="D5">
        <v>22.5</v>
      </c>
      <c r="E5">
        <v>35.700000000000003</v>
      </c>
      <c r="F5">
        <v>4</v>
      </c>
      <c r="G5">
        <v>16</v>
      </c>
    </row>
    <row r="6" spans="1:7" x14ac:dyDescent="0.3">
      <c r="A6" t="s">
        <v>17</v>
      </c>
      <c r="B6">
        <v>21.5</v>
      </c>
      <c r="C6">
        <v>26.2</v>
      </c>
      <c r="D6">
        <v>22</v>
      </c>
      <c r="E6">
        <v>35.700000000000003</v>
      </c>
      <c r="F6">
        <v>5</v>
      </c>
      <c r="G6">
        <v>16</v>
      </c>
    </row>
    <row r="10" spans="1:7" x14ac:dyDescent="0.3">
      <c r="B10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7B1B0-96E8-4DE5-8DA5-96CF948CD6C2}">
  <dimension ref="A1:G9"/>
  <sheetViews>
    <sheetView workbookViewId="0">
      <selection activeCell="G33" sqref="G33"/>
    </sheetView>
  </sheetViews>
  <sheetFormatPr defaultRowHeight="14.4" x14ac:dyDescent="0.3"/>
  <cols>
    <col min="1" max="1" width="13.6640625" customWidth="1"/>
    <col min="2" max="2" width="29.77734375" customWidth="1"/>
    <col min="3" max="3" width="24.88671875" customWidth="1"/>
    <col min="4" max="4" width="31.88671875" customWidth="1"/>
    <col min="5" max="5" width="24.21875" customWidth="1"/>
    <col min="6" max="6" width="12.5546875" customWidth="1"/>
    <col min="7" max="7" width="27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19</v>
      </c>
      <c r="B2">
        <v>28.1</v>
      </c>
      <c r="C2">
        <v>30.4</v>
      </c>
      <c r="D2">
        <v>29</v>
      </c>
      <c r="E2">
        <v>36</v>
      </c>
      <c r="F2">
        <v>1</v>
      </c>
      <c r="G2">
        <v>16.5</v>
      </c>
    </row>
    <row r="3" spans="1:7" x14ac:dyDescent="0.3">
      <c r="A3" t="s">
        <v>20</v>
      </c>
      <c r="B3">
        <v>24.5</v>
      </c>
      <c r="C3">
        <v>29.2</v>
      </c>
      <c r="D3">
        <v>25.6</v>
      </c>
      <c r="E3">
        <v>36</v>
      </c>
      <c r="F3">
        <v>2</v>
      </c>
      <c r="G3">
        <v>16.5</v>
      </c>
    </row>
    <row r="4" spans="1:7" x14ac:dyDescent="0.3">
      <c r="A4" t="s">
        <v>21</v>
      </c>
      <c r="B4">
        <v>23.5</v>
      </c>
      <c r="C4">
        <v>27.5</v>
      </c>
      <c r="D4">
        <v>24</v>
      </c>
      <c r="E4">
        <v>36</v>
      </c>
      <c r="F4">
        <v>3</v>
      </c>
      <c r="G4">
        <v>16.5</v>
      </c>
    </row>
    <row r="5" spans="1:7" x14ac:dyDescent="0.3">
      <c r="A5" t="s">
        <v>22</v>
      </c>
      <c r="B5">
        <v>22</v>
      </c>
      <c r="C5">
        <v>26.2</v>
      </c>
      <c r="D5">
        <v>22.5</v>
      </c>
      <c r="E5">
        <v>36</v>
      </c>
      <c r="F5">
        <v>4</v>
      </c>
      <c r="G5">
        <v>16.5</v>
      </c>
    </row>
    <row r="6" spans="1:7" x14ac:dyDescent="0.3">
      <c r="A6" t="s">
        <v>23</v>
      </c>
      <c r="B6">
        <v>22</v>
      </c>
      <c r="C6">
        <v>24.2</v>
      </c>
      <c r="D6">
        <v>22</v>
      </c>
      <c r="E6">
        <v>36</v>
      </c>
      <c r="F6">
        <v>5</v>
      </c>
      <c r="G6">
        <v>16.5</v>
      </c>
    </row>
    <row r="9" spans="1:7" x14ac:dyDescent="0.3">
      <c r="B9" t="s">
        <v>24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0471-749C-464E-9731-D63BB12E062E}">
  <dimension ref="A1:G10"/>
  <sheetViews>
    <sheetView workbookViewId="0">
      <selection activeCell="B17" sqref="B17"/>
    </sheetView>
  </sheetViews>
  <sheetFormatPr defaultRowHeight="14.4" x14ac:dyDescent="0.3"/>
  <cols>
    <col min="1" max="1" width="14.88671875" customWidth="1"/>
    <col min="2" max="2" width="30.77734375" customWidth="1"/>
    <col min="3" max="3" width="25.109375" customWidth="1"/>
    <col min="4" max="4" width="31.77734375" customWidth="1"/>
    <col min="5" max="5" width="24.77734375" customWidth="1"/>
    <col min="6" max="6" width="12.33203125" customWidth="1"/>
    <col min="7" max="7" width="26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25</v>
      </c>
      <c r="B2">
        <v>29</v>
      </c>
      <c r="C2">
        <v>29.7</v>
      </c>
      <c r="D2">
        <v>30</v>
      </c>
      <c r="E2">
        <v>36</v>
      </c>
      <c r="F2">
        <v>1</v>
      </c>
      <c r="G2">
        <v>17</v>
      </c>
    </row>
    <row r="3" spans="1:7" x14ac:dyDescent="0.3">
      <c r="A3" t="s">
        <v>26</v>
      </c>
      <c r="B3">
        <v>26.5</v>
      </c>
      <c r="C3">
        <v>28.7</v>
      </c>
      <c r="D3">
        <v>26.8</v>
      </c>
      <c r="E3">
        <v>36</v>
      </c>
      <c r="F3">
        <v>2</v>
      </c>
      <c r="G3">
        <v>17</v>
      </c>
    </row>
    <row r="4" spans="1:7" x14ac:dyDescent="0.3">
      <c r="A4" t="s">
        <v>27</v>
      </c>
      <c r="B4">
        <v>24</v>
      </c>
      <c r="C4">
        <v>27.9</v>
      </c>
      <c r="D4">
        <v>24.5</v>
      </c>
      <c r="E4">
        <v>36</v>
      </c>
      <c r="F4">
        <v>3</v>
      </c>
      <c r="G4">
        <v>17</v>
      </c>
    </row>
    <row r="5" spans="1:7" x14ac:dyDescent="0.3">
      <c r="A5" t="s">
        <v>28</v>
      </c>
      <c r="B5">
        <v>23</v>
      </c>
      <c r="C5">
        <v>26.3</v>
      </c>
      <c r="D5">
        <v>24.4</v>
      </c>
      <c r="E5">
        <v>36</v>
      </c>
      <c r="F5">
        <v>4</v>
      </c>
      <c r="G5">
        <v>17</v>
      </c>
    </row>
    <row r="6" spans="1:7" x14ac:dyDescent="0.3">
      <c r="A6" t="s">
        <v>29</v>
      </c>
      <c r="B6">
        <v>22.8</v>
      </c>
      <c r="C6">
        <v>26.1</v>
      </c>
      <c r="D6">
        <v>23</v>
      </c>
      <c r="E6">
        <v>36</v>
      </c>
      <c r="F6">
        <v>5</v>
      </c>
      <c r="G6">
        <v>17</v>
      </c>
    </row>
    <row r="10" spans="1:7" x14ac:dyDescent="0.3">
      <c r="B10" t="s">
        <v>30</v>
      </c>
    </row>
  </sheetData>
  <phoneticPr fontId="3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D2D6-1538-46A4-AA6D-37E2D4ED9E24}">
  <dimension ref="A1:G9"/>
  <sheetViews>
    <sheetView workbookViewId="0">
      <selection activeCell="H31" sqref="H31"/>
    </sheetView>
  </sheetViews>
  <sheetFormatPr defaultRowHeight="14.4" x14ac:dyDescent="0.3"/>
  <cols>
    <col min="1" max="1" width="14" customWidth="1"/>
    <col min="2" max="2" width="30.5546875" customWidth="1"/>
    <col min="3" max="3" width="24.88671875" customWidth="1"/>
    <col min="4" max="4" width="31.77734375" customWidth="1"/>
    <col min="5" max="5" width="24.44140625" customWidth="1"/>
    <col min="6" max="6" width="13.33203125" customWidth="1"/>
    <col min="7" max="7" width="27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31</v>
      </c>
      <c r="B2">
        <v>29.8</v>
      </c>
      <c r="C2">
        <v>29.9</v>
      </c>
      <c r="D2">
        <v>31</v>
      </c>
      <c r="E2">
        <v>36</v>
      </c>
      <c r="F2">
        <v>1</v>
      </c>
      <c r="G2">
        <v>36</v>
      </c>
    </row>
    <row r="3" spans="1:7" x14ac:dyDescent="0.3">
      <c r="A3" t="s">
        <v>32</v>
      </c>
      <c r="B3">
        <v>26.3</v>
      </c>
      <c r="C3">
        <v>29.2</v>
      </c>
      <c r="D3">
        <v>27.5</v>
      </c>
      <c r="E3">
        <v>36</v>
      </c>
      <c r="F3">
        <v>2</v>
      </c>
      <c r="G3">
        <v>36</v>
      </c>
    </row>
    <row r="4" spans="1:7" x14ac:dyDescent="0.3">
      <c r="A4" t="s">
        <v>33</v>
      </c>
      <c r="B4">
        <v>24.5</v>
      </c>
      <c r="C4">
        <v>28.4</v>
      </c>
      <c r="D4">
        <v>25</v>
      </c>
      <c r="E4">
        <v>36</v>
      </c>
      <c r="F4">
        <v>3</v>
      </c>
      <c r="G4">
        <v>36</v>
      </c>
    </row>
    <row r="5" spans="1:7" x14ac:dyDescent="0.3">
      <c r="A5" t="s">
        <v>34</v>
      </c>
      <c r="B5">
        <v>23</v>
      </c>
      <c r="C5">
        <v>27.5</v>
      </c>
      <c r="D5">
        <v>24.5</v>
      </c>
      <c r="E5">
        <v>36</v>
      </c>
      <c r="F5">
        <v>4</v>
      </c>
      <c r="G5">
        <v>36</v>
      </c>
    </row>
    <row r="6" spans="1:7" x14ac:dyDescent="0.3">
      <c r="A6" t="s">
        <v>35</v>
      </c>
      <c r="B6">
        <v>22.5</v>
      </c>
      <c r="C6">
        <v>26.4</v>
      </c>
      <c r="D6">
        <v>23.8</v>
      </c>
      <c r="E6">
        <v>36</v>
      </c>
      <c r="F6">
        <v>5</v>
      </c>
      <c r="G6">
        <v>36</v>
      </c>
    </row>
    <row r="9" spans="1:7" x14ac:dyDescent="0.3">
      <c r="B9" t="s">
        <v>36</v>
      </c>
    </row>
  </sheetData>
  <phoneticPr fontId="3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8E79-71C8-4B0B-B15D-035591C65ED6}">
  <dimension ref="A1:G8"/>
  <sheetViews>
    <sheetView topLeftCell="B1" workbookViewId="0">
      <selection activeCell="I11" sqref="I11"/>
    </sheetView>
  </sheetViews>
  <sheetFormatPr defaultRowHeight="14.4" x14ac:dyDescent="0.3"/>
  <cols>
    <col min="1" max="1" width="13.44140625" customWidth="1"/>
    <col min="2" max="2" width="31.21875" customWidth="1"/>
    <col min="3" max="3" width="24.44140625" customWidth="1"/>
    <col min="4" max="4" width="31.88671875" customWidth="1"/>
    <col min="5" max="5" width="24.88671875" customWidth="1"/>
    <col min="6" max="6" width="12.88671875" customWidth="1"/>
    <col min="7" max="7" width="28.886718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37</v>
      </c>
      <c r="B2">
        <v>30</v>
      </c>
      <c r="C2">
        <v>30.4</v>
      </c>
      <c r="D2">
        <v>30.5</v>
      </c>
      <c r="E2">
        <v>35.700000000000003</v>
      </c>
      <c r="F2">
        <v>1</v>
      </c>
      <c r="G2">
        <v>16.5</v>
      </c>
    </row>
    <row r="3" spans="1:7" x14ac:dyDescent="0.3">
      <c r="A3" t="s">
        <v>39</v>
      </c>
      <c r="B3">
        <v>26.5</v>
      </c>
      <c r="C3">
        <v>28.6</v>
      </c>
      <c r="D3">
        <v>26</v>
      </c>
      <c r="E3">
        <v>35.700000000000003</v>
      </c>
      <c r="F3">
        <v>2</v>
      </c>
      <c r="G3">
        <v>16.5</v>
      </c>
    </row>
    <row r="4" spans="1:7" x14ac:dyDescent="0.3">
      <c r="A4" t="s">
        <v>40</v>
      </c>
      <c r="B4">
        <v>24</v>
      </c>
      <c r="C4">
        <v>26.2</v>
      </c>
      <c r="D4">
        <v>24.5</v>
      </c>
      <c r="E4">
        <v>35.700000000000003</v>
      </c>
      <c r="F4">
        <v>3</v>
      </c>
      <c r="G4">
        <v>16.5</v>
      </c>
    </row>
    <row r="5" spans="1:7" x14ac:dyDescent="0.3">
      <c r="A5" t="s">
        <v>41</v>
      </c>
      <c r="B5">
        <v>22.5</v>
      </c>
      <c r="C5">
        <v>24.6</v>
      </c>
      <c r="D5">
        <v>23</v>
      </c>
      <c r="E5">
        <v>35.700000000000003</v>
      </c>
      <c r="F5">
        <v>4</v>
      </c>
      <c r="G5">
        <v>16.5</v>
      </c>
    </row>
    <row r="6" spans="1:7" x14ac:dyDescent="0.3">
      <c r="A6" t="s">
        <v>42</v>
      </c>
      <c r="B6">
        <v>21.8</v>
      </c>
      <c r="C6">
        <v>22.9</v>
      </c>
      <c r="D6">
        <v>22.5</v>
      </c>
      <c r="E6">
        <v>35.700000000000003</v>
      </c>
      <c r="F6">
        <v>5</v>
      </c>
      <c r="G6">
        <v>16.5</v>
      </c>
    </row>
    <row r="8" spans="1:7" x14ac:dyDescent="0.3">
      <c r="B8" t="s">
        <v>38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AF2A-06B2-4D2C-A61C-145C1BC7D83B}">
  <dimension ref="A1:G10"/>
  <sheetViews>
    <sheetView workbookViewId="0">
      <selection activeCell="D5" sqref="D5"/>
    </sheetView>
  </sheetViews>
  <sheetFormatPr defaultRowHeight="14.4" x14ac:dyDescent="0.3"/>
  <cols>
    <col min="1" max="1" width="14.21875" customWidth="1"/>
    <col min="2" max="2" width="32.109375" customWidth="1"/>
    <col min="3" max="3" width="24.77734375" customWidth="1"/>
    <col min="4" max="4" width="32.21875" customWidth="1"/>
    <col min="5" max="5" width="24.44140625" customWidth="1"/>
    <col min="7" max="7" width="27.10937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37</v>
      </c>
      <c r="B2">
        <v>30.5</v>
      </c>
      <c r="C2">
        <v>30.3</v>
      </c>
      <c r="D2">
        <v>31.2</v>
      </c>
      <c r="E2">
        <v>35.700000000000003</v>
      </c>
      <c r="F2">
        <v>1</v>
      </c>
      <c r="G2">
        <v>16.5</v>
      </c>
    </row>
    <row r="3" spans="1:7" x14ac:dyDescent="0.3">
      <c r="A3" t="s">
        <v>39</v>
      </c>
      <c r="B3">
        <v>25.5</v>
      </c>
      <c r="C3">
        <v>28.9</v>
      </c>
      <c r="D3">
        <v>26</v>
      </c>
      <c r="E3">
        <v>35.700000000000003</v>
      </c>
      <c r="F3">
        <v>2</v>
      </c>
      <c r="G3">
        <v>16.5</v>
      </c>
    </row>
    <row r="4" spans="1:7" x14ac:dyDescent="0.3">
      <c r="A4" t="s">
        <v>40</v>
      </c>
      <c r="B4">
        <v>24.3</v>
      </c>
      <c r="C4">
        <v>27.5</v>
      </c>
      <c r="D4">
        <v>25</v>
      </c>
      <c r="E4">
        <v>35.700000000000003</v>
      </c>
      <c r="F4">
        <v>3</v>
      </c>
      <c r="G4">
        <v>16.5</v>
      </c>
    </row>
    <row r="5" spans="1:7" x14ac:dyDescent="0.3">
      <c r="A5" t="s">
        <v>41</v>
      </c>
      <c r="B5">
        <v>22.25</v>
      </c>
      <c r="C5">
        <v>26.3</v>
      </c>
      <c r="D5">
        <v>24</v>
      </c>
      <c r="E5">
        <v>35.700000000000003</v>
      </c>
      <c r="F5">
        <v>4</v>
      </c>
      <c r="G5">
        <v>16.5</v>
      </c>
    </row>
    <row r="6" spans="1:7" x14ac:dyDescent="0.3">
      <c r="A6" t="s">
        <v>42</v>
      </c>
      <c r="B6">
        <v>21.8</v>
      </c>
      <c r="C6">
        <v>23.6</v>
      </c>
      <c r="D6">
        <v>23.3</v>
      </c>
      <c r="E6">
        <v>35.700000000000003</v>
      </c>
      <c r="F6">
        <v>5</v>
      </c>
      <c r="G6">
        <v>16.5</v>
      </c>
    </row>
    <row r="10" spans="1:7" x14ac:dyDescent="0.3">
      <c r="B10" t="s">
        <v>43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FDB8-A046-41F7-A3E7-3FC0C73C8455}">
  <dimension ref="A1:G10"/>
  <sheetViews>
    <sheetView workbookViewId="0">
      <selection activeCell="H33" sqref="H33"/>
    </sheetView>
  </sheetViews>
  <sheetFormatPr defaultRowHeight="14.4" x14ac:dyDescent="0.3"/>
  <cols>
    <col min="1" max="1" width="13.21875" customWidth="1"/>
    <col min="2" max="2" width="30.6640625" customWidth="1"/>
    <col min="3" max="3" width="24.6640625" customWidth="1"/>
    <col min="4" max="4" width="32.109375" customWidth="1"/>
    <col min="5" max="5" width="25.21875" customWidth="1"/>
    <col min="6" max="6" width="12" customWidth="1"/>
    <col min="7" max="7" width="27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44</v>
      </c>
      <c r="B2">
        <v>28.8</v>
      </c>
      <c r="C2">
        <v>30.5</v>
      </c>
      <c r="D2">
        <v>29.5</v>
      </c>
      <c r="E2">
        <v>37.5</v>
      </c>
      <c r="F2">
        <v>1</v>
      </c>
      <c r="G2">
        <v>16.5</v>
      </c>
    </row>
    <row r="3" spans="1:7" x14ac:dyDescent="0.3">
      <c r="A3" t="s">
        <v>45</v>
      </c>
      <c r="B3">
        <v>25.5</v>
      </c>
      <c r="C3">
        <v>28.5</v>
      </c>
      <c r="D3">
        <v>26.3</v>
      </c>
      <c r="E3">
        <v>37.5</v>
      </c>
      <c r="F3">
        <v>2</v>
      </c>
      <c r="G3">
        <v>16.5</v>
      </c>
    </row>
    <row r="4" spans="1:7" x14ac:dyDescent="0.3">
      <c r="A4" t="s">
        <v>46</v>
      </c>
      <c r="B4">
        <v>24.1</v>
      </c>
      <c r="C4">
        <v>28.1</v>
      </c>
      <c r="D4">
        <v>25</v>
      </c>
      <c r="E4">
        <v>37.5</v>
      </c>
      <c r="F4">
        <v>3</v>
      </c>
      <c r="G4">
        <v>16.5</v>
      </c>
    </row>
    <row r="5" spans="1:7" x14ac:dyDescent="0.3">
      <c r="A5" t="s">
        <v>47</v>
      </c>
      <c r="B5">
        <v>23.8</v>
      </c>
      <c r="C5">
        <v>27</v>
      </c>
      <c r="D5">
        <v>24.3</v>
      </c>
      <c r="E5">
        <v>37.5</v>
      </c>
      <c r="F5">
        <v>4</v>
      </c>
      <c r="G5">
        <v>17</v>
      </c>
    </row>
    <row r="6" spans="1:7" x14ac:dyDescent="0.3">
      <c r="A6" t="s">
        <v>48</v>
      </c>
      <c r="B6">
        <v>23.5</v>
      </c>
      <c r="C6">
        <v>26.1</v>
      </c>
      <c r="D6">
        <v>24</v>
      </c>
      <c r="E6">
        <v>37.5</v>
      </c>
      <c r="F6">
        <v>5</v>
      </c>
      <c r="G6">
        <v>17</v>
      </c>
    </row>
    <row r="10" spans="1:7" x14ac:dyDescent="0.3">
      <c r="B10" t="s">
        <v>49</v>
      </c>
    </row>
  </sheetData>
  <phoneticPr fontId="3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67E6E-1755-49A3-883D-2DEBFFD56EDA}">
  <dimension ref="A1:G9"/>
  <sheetViews>
    <sheetView workbookViewId="0">
      <selection activeCell="D6" sqref="D6"/>
    </sheetView>
  </sheetViews>
  <sheetFormatPr defaultRowHeight="14.4" x14ac:dyDescent="0.3"/>
  <cols>
    <col min="1" max="1" width="13" customWidth="1"/>
    <col min="2" max="2" width="31" customWidth="1"/>
    <col min="3" max="3" width="24.21875" customWidth="1"/>
    <col min="4" max="4" width="31.88671875" customWidth="1"/>
    <col min="5" max="5" width="24.21875" customWidth="1"/>
    <col min="6" max="6" width="11.77734375" customWidth="1"/>
    <col min="7" max="7" width="26.33203125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</v>
      </c>
      <c r="G1" s="3" t="s">
        <v>5</v>
      </c>
    </row>
    <row r="2" spans="1:7" x14ac:dyDescent="0.3">
      <c r="A2" t="s">
        <v>44</v>
      </c>
      <c r="B2">
        <v>29.5</v>
      </c>
      <c r="C2">
        <v>30.8</v>
      </c>
      <c r="D2">
        <v>30.5</v>
      </c>
      <c r="E2">
        <v>37.5</v>
      </c>
      <c r="F2">
        <v>1</v>
      </c>
      <c r="G2">
        <v>16.5</v>
      </c>
    </row>
    <row r="3" spans="1:7" x14ac:dyDescent="0.3">
      <c r="A3" t="s">
        <v>45</v>
      </c>
      <c r="B3">
        <v>25.5</v>
      </c>
      <c r="C3">
        <v>28.9</v>
      </c>
      <c r="D3">
        <v>26.3</v>
      </c>
      <c r="E3">
        <v>37.5</v>
      </c>
      <c r="F3">
        <v>2</v>
      </c>
      <c r="G3">
        <v>16.5</v>
      </c>
    </row>
    <row r="4" spans="1:7" x14ac:dyDescent="0.3">
      <c r="A4" t="s">
        <v>46</v>
      </c>
      <c r="B4">
        <v>24.5</v>
      </c>
      <c r="C4">
        <v>28</v>
      </c>
      <c r="D4">
        <v>25.3</v>
      </c>
      <c r="E4">
        <v>37.5</v>
      </c>
      <c r="F4">
        <v>3</v>
      </c>
      <c r="G4">
        <v>16.5</v>
      </c>
    </row>
    <row r="5" spans="1:7" x14ac:dyDescent="0.3">
      <c r="A5" t="s">
        <v>47</v>
      </c>
      <c r="B5">
        <v>23.8</v>
      </c>
      <c r="C5">
        <v>27.5</v>
      </c>
      <c r="D5">
        <v>24.8</v>
      </c>
      <c r="E5">
        <v>37.5</v>
      </c>
      <c r="F5">
        <v>4</v>
      </c>
      <c r="G5">
        <v>17</v>
      </c>
    </row>
    <row r="6" spans="1:7" x14ac:dyDescent="0.3">
      <c r="A6" t="s">
        <v>48</v>
      </c>
      <c r="B6">
        <v>23</v>
      </c>
      <c r="C6">
        <v>26.5</v>
      </c>
      <c r="D6">
        <v>24</v>
      </c>
      <c r="E6">
        <v>37.5</v>
      </c>
      <c r="F6">
        <v>5</v>
      </c>
      <c r="G6">
        <v>17</v>
      </c>
    </row>
    <row r="9" spans="1:7" x14ac:dyDescent="0.3">
      <c r="B9" t="s">
        <v>50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623D-2E83-4EDC-B779-0A3D554CADD4}">
  <dimension ref="A1:I17"/>
  <sheetViews>
    <sheetView workbookViewId="0">
      <selection activeCell="G23" sqref="G23"/>
    </sheetView>
  </sheetViews>
  <sheetFormatPr defaultRowHeight="14.4" x14ac:dyDescent="0.3"/>
  <cols>
    <col min="1" max="1" width="55.6640625" customWidth="1"/>
    <col min="2" max="2" width="21.109375" customWidth="1"/>
    <col min="3" max="5" width="22.109375" customWidth="1"/>
    <col min="6" max="6" width="21.77734375" customWidth="1"/>
  </cols>
  <sheetData>
    <row r="1" spans="1:9" x14ac:dyDescent="0.3">
      <c r="A1" s="4" t="s">
        <v>68</v>
      </c>
      <c r="B1" s="5" t="s">
        <v>53</v>
      </c>
      <c r="C1" s="5" t="s">
        <v>54</v>
      </c>
      <c r="D1" s="5" t="s">
        <v>55</v>
      </c>
      <c r="E1" s="5" t="s">
        <v>56</v>
      </c>
      <c r="F1" s="6" t="s">
        <v>57</v>
      </c>
      <c r="G1" s="5"/>
      <c r="I1" s="5"/>
    </row>
    <row r="2" spans="1:9" x14ac:dyDescent="0.3">
      <c r="A2" t="s">
        <v>61</v>
      </c>
      <c r="B2">
        <f>'Natutal_illumination_light skin'!B2</f>
        <v>30.1</v>
      </c>
      <c r="C2">
        <f>'Natutal_illumination_light skin'!B3</f>
        <v>25.1</v>
      </c>
      <c r="D2">
        <f>'Natutal_illumination_light skin'!B4</f>
        <v>23</v>
      </c>
      <c r="E2">
        <f>'Natutal_illumination_light skin'!B5</f>
        <v>22</v>
      </c>
      <c r="F2">
        <f>'Natutal_illumination_light skin'!B6</f>
        <v>21</v>
      </c>
    </row>
    <row r="3" spans="1:9" x14ac:dyDescent="0.3">
      <c r="A3" t="s">
        <v>59</v>
      </c>
      <c r="B3">
        <f>Naural_Illumination_dark_skinwg!$B$2</f>
        <v>29</v>
      </c>
      <c r="C3">
        <f>Naural_Illumination_dark_skinwg!$B$3</f>
        <v>24.5</v>
      </c>
      <c r="D3">
        <f>Naural_Illumination_dark_skinwg!$B$4</f>
        <v>23.5</v>
      </c>
      <c r="E3">
        <f>Naural_Illumination_dark_skinwg!$B$5</f>
        <v>22</v>
      </c>
      <c r="F3">
        <f>Naural_Illumination_dark_skinwg!$B$6</f>
        <v>21.5</v>
      </c>
    </row>
    <row r="4" spans="1:9" x14ac:dyDescent="0.3">
      <c r="A4" t="s">
        <v>60</v>
      </c>
      <c r="B4">
        <f>Naural_Illumination_darkskinwtg!$B$2</f>
        <v>29.7</v>
      </c>
      <c r="C4">
        <f>Naural_Illumination_darkskinwtg!$B$3</f>
        <v>25.7</v>
      </c>
      <c r="D4">
        <f>Naural_Illumination_darkskinwtg!$B$4</f>
        <v>23.8</v>
      </c>
      <c r="E4">
        <f>Naural_Illumination_darkskinwtg!$B$5</f>
        <v>21.8</v>
      </c>
      <c r="F4">
        <f>Naural_Illumination_darkskinwtg!$B$6</f>
        <v>21.5</v>
      </c>
    </row>
    <row r="5" spans="1:9" x14ac:dyDescent="0.3">
      <c r="A5" t="s">
        <v>58</v>
      </c>
      <c r="B5">
        <f>Artificial_Illumination_Light_s!B2</f>
        <v>28.1</v>
      </c>
      <c r="C5">
        <f>Artificial_Illumination_Light_s!B3</f>
        <v>24.5</v>
      </c>
      <c r="D5">
        <f>Artificial_Illumination_Light_s!B4</f>
        <v>23.5</v>
      </c>
      <c r="E5">
        <f>Artificial_Illumination_Light_s!B6</f>
        <v>22</v>
      </c>
      <c r="F5">
        <f>Artificial_Illumination_Light_s!B6</f>
        <v>22</v>
      </c>
    </row>
    <row r="6" spans="1:9" x14ac:dyDescent="0.3">
      <c r="A6" t="s">
        <v>62</v>
      </c>
      <c r="B6">
        <f>artificial_illuminatn_dksknwG!B2</f>
        <v>29</v>
      </c>
      <c r="C6">
        <f>artificial_illuminatn_dksknwG!B3</f>
        <v>26.5</v>
      </c>
      <c r="D6">
        <f>artificial_illuminatn_dksknwG!B4</f>
        <v>24</v>
      </c>
      <c r="E6">
        <f>artificial_illuminatn_dksknwG!B5</f>
        <v>23</v>
      </c>
      <c r="F6">
        <f>artificial_illuminatn_dksknwG!B6</f>
        <v>22.8</v>
      </c>
    </row>
    <row r="7" spans="1:9" x14ac:dyDescent="0.3">
      <c r="A7" t="s">
        <v>63</v>
      </c>
      <c r="B7">
        <f>Artificial_illumination_Dark_sk!$B$2</f>
        <v>29.8</v>
      </c>
      <c r="C7">
        <f>Artificial_illumination_Dark_sk!$B$3</f>
        <v>26.3</v>
      </c>
      <c r="D7">
        <f>Artificial_illumination_Dark_sk!$B$4</f>
        <v>24.5</v>
      </c>
      <c r="E7">
        <f>Artificial_illumination_Dark_sk!$B$5</f>
        <v>23</v>
      </c>
      <c r="F7">
        <f>Artificial_illumination_Dark_sk!$B$6</f>
        <v>22.5</v>
      </c>
    </row>
    <row r="8" spans="1:9" x14ac:dyDescent="0.3">
      <c r="A8" t="s">
        <v>64</v>
      </c>
      <c r="B8">
        <f>'Natutal_Illuminatn _ltsknwg'!B2</f>
        <v>30</v>
      </c>
      <c r="C8">
        <f>'Natutal_Illuminatn _ltsknwg'!B3</f>
        <v>26.5</v>
      </c>
      <c r="D8">
        <f>'Natutal_Illuminatn _ltsknwg'!B4</f>
        <v>24</v>
      </c>
      <c r="E8">
        <f>'Natutal_Illuminatn _ltsknwg'!B5</f>
        <v>22.5</v>
      </c>
      <c r="F8">
        <f>'Natutal_Illuminatn _ltsknwg'!B6</f>
        <v>21.8</v>
      </c>
    </row>
    <row r="9" spans="1:9" x14ac:dyDescent="0.3">
      <c r="A9" t="s">
        <v>65</v>
      </c>
      <c r="B9">
        <f>'Natutal_Illuminatn _ltsknwhgl'!B2</f>
        <v>30.5</v>
      </c>
      <c r="C9">
        <f>'Natutal_Illuminatn _ltsknwhgl'!B3</f>
        <v>25.5</v>
      </c>
      <c r="D9">
        <f>'Natutal_Illuminatn _ltsknwhgl'!B4</f>
        <v>24.3</v>
      </c>
      <c r="E9">
        <f>'Natutal_Illuminatn _ltsknwhgl'!B5</f>
        <v>22.25</v>
      </c>
      <c r="F9">
        <f>'Natutal_Illuminatn _ltsknwhgl'!B6</f>
        <v>21.8</v>
      </c>
    </row>
    <row r="10" spans="1:9" x14ac:dyDescent="0.3">
      <c r="A10" t="s">
        <v>66</v>
      </c>
      <c r="B10">
        <f>artificial_illumintn_litsknwg!B2</f>
        <v>28.8</v>
      </c>
      <c r="C10">
        <f>artificial_illumintn_litsknwg!B3</f>
        <v>25.5</v>
      </c>
      <c r="D10">
        <f>artificial_illumintn_litsknwg!B4</f>
        <v>24.1</v>
      </c>
      <c r="E10">
        <f>artificial_illumintn_litsknwg!B5</f>
        <v>23.8</v>
      </c>
      <c r="F10">
        <f>artificial_illumintn_litsknwg!B6</f>
        <v>23.5</v>
      </c>
    </row>
    <row r="11" spans="1:9" x14ac:dyDescent="0.3">
      <c r="A11" t="s">
        <v>67</v>
      </c>
      <c r="B11">
        <f>artificial_illumintn_litsknwhgl!B2</f>
        <v>29.5</v>
      </c>
      <c r="C11">
        <f>artificial_illumintn_litsknwhgl!B3</f>
        <v>25.5</v>
      </c>
      <c r="D11">
        <f>artificial_illumintn_litsknwhgl!B4</f>
        <v>24.5</v>
      </c>
      <c r="E11">
        <f>artificial_illumintn_litsknwhgl!B5</f>
        <v>23.8</v>
      </c>
      <c r="F11">
        <f>artificial_illumintn_litsknwhgl!B6</f>
        <v>23</v>
      </c>
    </row>
    <row r="13" spans="1:9" x14ac:dyDescent="0.3">
      <c r="A13" s="7" t="s">
        <v>70</v>
      </c>
      <c r="B13">
        <f>AVERAGE(B2:B11)</f>
        <v>29.45</v>
      </c>
      <c r="C13">
        <f>AVERAGE(C2:C11)</f>
        <v>25.56</v>
      </c>
      <c r="D13">
        <f>AVERAGE(D2:D11)</f>
        <v>23.92</v>
      </c>
      <c r="E13">
        <f>AVERAGE(E2:E11)</f>
        <v>22.615000000000002</v>
      </c>
      <c r="F13">
        <f>AVERAGE(F2:F11)</f>
        <v>22.140000000000004</v>
      </c>
    </row>
    <row r="15" spans="1:9" x14ac:dyDescent="0.3">
      <c r="A15" s="7" t="s">
        <v>73</v>
      </c>
      <c r="B15">
        <f>_xlfn.VAR.S(B2:B11)</f>
        <v>0.51833333333333309</v>
      </c>
      <c r="C15">
        <f>_xlfn.VAR.S(C2:C11)</f>
        <v>0.53377777777777757</v>
      </c>
      <c r="D15">
        <f>_xlfn.VAR.S(D2:D11)</f>
        <v>0.23066666666666677</v>
      </c>
      <c r="E15">
        <f>_xlfn.VAR.S(E2:E11)</f>
        <v>0.56113888888888896</v>
      </c>
      <c r="F15">
        <f>_xlfn.VAR.S(F2:F11)</f>
        <v>0.61377777777777776</v>
      </c>
    </row>
    <row r="16" spans="1:9" x14ac:dyDescent="0.3">
      <c r="A16" s="7"/>
    </row>
    <row r="17" spans="1:6" x14ac:dyDescent="0.3">
      <c r="A17" s="7" t="s">
        <v>72</v>
      </c>
      <c r="B17">
        <f>SQRT(B15)</f>
        <v>0.71995370221517241</v>
      </c>
      <c r="C17">
        <f>SQRT(C15)</f>
        <v>0.73060097028253224</v>
      </c>
      <c r="D17">
        <f>SQRT(D15)</f>
        <v>0.48027769744874349</v>
      </c>
      <c r="E17">
        <f>SQRT(E15)</f>
        <v>0.74909204300198584</v>
      </c>
      <c r="F17">
        <f>SQRT(F15)</f>
        <v>0.78343970908920479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3858-03AE-4254-9459-973E8531193A}">
  <dimension ref="A1:F17"/>
  <sheetViews>
    <sheetView workbookViewId="0">
      <selection activeCell="C17" sqref="C17"/>
    </sheetView>
  </sheetViews>
  <sheetFormatPr defaultRowHeight="14.4" x14ac:dyDescent="0.3"/>
  <cols>
    <col min="1" max="1" width="56.33203125" customWidth="1"/>
    <col min="2" max="2" width="21.44140625" customWidth="1"/>
    <col min="3" max="3" width="21.88671875" customWidth="1"/>
    <col min="4" max="4" width="23.5546875" customWidth="1"/>
    <col min="5" max="5" width="22.109375" customWidth="1"/>
    <col min="6" max="6" width="21.5546875" customWidth="1"/>
  </cols>
  <sheetData>
    <row r="1" spans="1:6" x14ac:dyDescent="0.3">
      <c r="A1" s="4" t="s">
        <v>69</v>
      </c>
      <c r="B1" s="5" t="s">
        <v>53</v>
      </c>
      <c r="C1" s="5" t="s">
        <v>54</v>
      </c>
      <c r="D1" s="5" t="s">
        <v>55</v>
      </c>
      <c r="E1" s="5" t="s">
        <v>56</v>
      </c>
      <c r="F1" s="6" t="s">
        <v>57</v>
      </c>
    </row>
    <row r="2" spans="1:6" x14ac:dyDescent="0.3">
      <c r="A2" t="s">
        <v>61</v>
      </c>
      <c r="B2">
        <f>'Natutal_illumination_light skin'!C2</f>
        <v>29.7</v>
      </c>
      <c r="C2">
        <f>'Natutal_illumination_light skin'!C3</f>
        <v>29</v>
      </c>
      <c r="D2">
        <f>'Natutal_illumination_light skin'!C4</f>
        <v>24</v>
      </c>
      <c r="E2">
        <f>'Natutal_illumination_light skin'!C5</f>
        <v>24</v>
      </c>
      <c r="F2">
        <f>'Natutal_illumination_light skin'!C6</f>
        <v>24</v>
      </c>
    </row>
    <row r="3" spans="1:6" x14ac:dyDescent="0.3">
      <c r="A3" t="s">
        <v>59</v>
      </c>
      <c r="B3">
        <f>Naural_Illumination_dark_skinwg!$C$2</f>
        <v>29.3</v>
      </c>
      <c r="C3">
        <f>Naural_Illumination_dark_skinwg!$C$3</f>
        <v>29</v>
      </c>
      <c r="D3">
        <f>Naural_Illumination_dark_skinwg!$C$4</f>
        <v>27.8</v>
      </c>
      <c r="E3">
        <f>Naural_Illumination_dark_skinwg!$C$5</f>
        <v>27.8</v>
      </c>
      <c r="F3">
        <f>Naural_Illumination_dark_skinwg!$C$6</f>
        <v>25</v>
      </c>
    </row>
    <row r="4" spans="1:6" x14ac:dyDescent="0.3">
      <c r="A4" t="s">
        <v>60</v>
      </c>
      <c r="B4">
        <f>Naural_Illumination_darkskinwtg!$C$2</f>
        <v>30</v>
      </c>
      <c r="C4">
        <f>Naural_Illumination_darkskinwtg!$C$3</f>
        <v>29.8</v>
      </c>
      <c r="D4">
        <f>Naural_Illumination_darkskinwtg!$C$4</f>
        <v>28.9</v>
      </c>
      <c r="E4">
        <f>Naural_Illumination_darkskinwtg!$C$5</f>
        <v>27.3</v>
      </c>
      <c r="F4">
        <f>Naural_Illumination_darkskinwtg!$C$6</f>
        <v>26.2</v>
      </c>
    </row>
    <row r="5" spans="1:6" x14ac:dyDescent="0.3">
      <c r="A5" t="s">
        <v>58</v>
      </c>
      <c r="B5">
        <f>Artificial_Illumination_Light_s!C2</f>
        <v>30.4</v>
      </c>
      <c r="C5">
        <f>Artificial_Illumination_Light_s!C3</f>
        <v>29.2</v>
      </c>
      <c r="D5">
        <f>Artificial_Illumination_Light_s!C4</f>
        <v>27.5</v>
      </c>
      <c r="E5">
        <f>Artificial_Illumination_Light_s!C5</f>
        <v>26.2</v>
      </c>
      <c r="F5">
        <f>Artificial_Illumination_Light_s!C6</f>
        <v>24.2</v>
      </c>
    </row>
    <row r="6" spans="1:6" x14ac:dyDescent="0.3">
      <c r="A6" t="s">
        <v>62</v>
      </c>
      <c r="B6">
        <f>artificial_illuminatn_dksknwG!C2</f>
        <v>29.7</v>
      </c>
      <c r="C6">
        <f>artificial_illuminatn_dksknwG!C3</f>
        <v>28.7</v>
      </c>
      <c r="D6">
        <f>artificial_illuminatn_dksknwG!C4</f>
        <v>27.9</v>
      </c>
      <c r="E6">
        <f>artificial_illuminatn_dksknwG!C5</f>
        <v>26.3</v>
      </c>
      <c r="F6">
        <f>artificial_illuminatn_dksknwG!C6</f>
        <v>26.1</v>
      </c>
    </row>
    <row r="7" spans="1:6" x14ac:dyDescent="0.3">
      <c r="A7" t="s">
        <v>63</v>
      </c>
      <c r="B7">
        <f>Artificial_illumination_Dark_sk!$C$2</f>
        <v>29.9</v>
      </c>
      <c r="C7">
        <f>Artificial_illumination_Dark_sk!$C$3</f>
        <v>29.2</v>
      </c>
      <c r="D7">
        <f>Artificial_illumination_Dark_sk!$C$4</f>
        <v>28.4</v>
      </c>
      <c r="E7">
        <f>Artificial_illumination_Dark_sk!$C$5</f>
        <v>27.5</v>
      </c>
      <c r="F7">
        <f>Artificial_illumination_Dark_sk!$C$6</f>
        <v>26.4</v>
      </c>
    </row>
    <row r="8" spans="1:6" x14ac:dyDescent="0.3">
      <c r="A8" t="s">
        <v>64</v>
      </c>
      <c r="B8">
        <f>'Natutal_Illuminatn _ltsknwg'!C2</f>
        <v>30.4</v>
      </c>
      <c r="C8">
        <f>'Natutal_Illuminatn _ltsknwg'!C3</f>
        <v>28.6</v>
      </c>
      <c r="D8">
        <f>'Natutal_Illuminatn _ltsknwg'!C4</f>
        <v>26.2</v>
      </c>
      <c r="E8">
        <f>'Natutal_Illuminatn _ltsknwg'!C5</f>
        <v>24.6</v>
      </c>
      <c r="F8">
        <f>'Natutal_Illuminatn _ltsknwg'!C6</f>
        <v>22.9</v>
      </c>
    </row>
    <row r="9" spans="1:6" x14ac:dyDescent="0.3">
      <c r="A9" t="s">
        <v>65</v>
      </c>
      <c r="B9">
        <f>'Natutal_Illuminatn _ltsknwhgl'!C2</f>
        <v>30.3</v>
      </c>
      <c r="C9">
        <f>'Natutal_Illuminatn _ltsknwhgl'!C3</f>
        <v>28.9</v>
      </c>
      <c r="D9">
        <f>'Natutal_Illuminatn _ltsknwhgl'!C4</f>
        <v>27.5</v>
      </c>
      <c r="E9">
        <f>'Natutal_Illuminatn _ltsknwhgl'!C5</f>
        <v>26.3</v>
      </c>
      <c r="F9">
        <f>'Natutal_Illuminatn _ltsknwhgl'!C6</f>
        <v>23.6</v>
      </c>
    </row>
    <row r="10" spans="1:6" x14ac:dyDescent="0.3">
      <c r="A10" t="s">
        <v>66</v>
      </c>
      <c r="B10">
        <f>artificial_illumintn_litsknwg!C2</f>
        <v>30.5</v>
      </c>
      <c r="C10">
        <f>artificial_illumintn_litsknwg!C3</f>
        <v>28.5</v>
      </c>
      <c r="D10">
        <f>artificial_illumintn_litsknwg!C4</f>
        <v>28.1</v>
      </c>
      <c r="E10">
        <f>artificial_illumintn_litsknwg!C5</f>
        <v>27</v>
      </c>
      <c r="F10">
        <f>artificial_illumintn_litsknwg!B6</f>
        <v>23.5</v>
      </c>
    </row>
    <row r="11" spans="1:6" x14ac:dyDescent="0.3">
      <c r="A11" t="s">
        <v>67</v>
      </c>
      <c r="B11">
        <f>artificial_illumintn_litsknwhgl!C2</f>
        <v>30.8</v>
      </c>
      <c r="C11">
        <f>artificial_illumintn_litsknwhgl!C3</f>
        <v>28.9</v>
      </c>
      <c r="D11">
        <f>artificial_illumintn_litsknwhgl!C4</f>
        <v>28</v>
      </c>
      <c r="E11">
        <f>artificial_illumintn_litsknwhgl!C5</f>
        <v>27.5</v>
      </c>
      <c r="F11">
        <f>artificial_illumintn_litsknwhgl!C6</f>
        <v>26.5</v>
      </c>
    </row>
    <row r="13" spans="1:6" x14ac:dyDescent="0.3">
      <c r="A13" s="7" t="s">
        <v>70</v>
      </c>
      <c r="B13">
        <f>AVERAGE(B2:B11)</f>
        <v>30.100000000000005</v>
      </c>
      <c r="C13">
        <f>AVERAGE(C2:C11)</f>
        <v>28.979999999999997</v>
      </c>
      <c r="D13">
        <f>AVERAGE(D2:D11)</f>
        <v>27.429999999999996</v>
      </c>
      <c r="E13">
        <f>AVERAGE(E2:E11)</f>
        <v>26.45</v>
      </c>
      <c r="F13">
        <f>AVERAGE(F2:F11)</f>
        <v>24.84</v>
      </c>
    </row>
    <row r="15" spans="1:6" x14ac:dyDescent="0.3">
      <c r="A15" s="7" t="s">
        <v>73</v>
      </c>
      <c r="B15">
        <f>_xlfn.VAR.S(B2:B11)</f>
        <v>0.20888888888888887</v>
      </c>
      <c r="C15">
        <f>_xlfn.VAR.S(C2:C11)</f>
        <v>0.13733333333333339</v>
      </c>
      <c r="D15">
        <f>_xlfn.VAR.S(D2:D11)</f>
        <v>1.9467777777777766</v>
      </c>
      <c r="E15">
        <f>_xlfn.VAR.S(E2:E11)</f>
        <v>1.6205555555555551</v>
      </c>
      <c r="F15">
        <f>_xlfn.VAR.S(F2:F11)</f>
        <v>1.8737777777777778</v>
      </c>
    </row>
    <row r="16" spans="1:6" x14ac:dyDescent="0.3">
      <c r="A16" s="7"/>
    </row>
    <row r="17" spans="1:6" x14ac:dyDescent="0.3">
      <c r="A17" s="7" t="s">
        <v>72</v>
      </c>
      <c r="B17">
        <f>SQRT(B15)</f>
        <v>0.45704364002673625</v>
      </c>
      <c r="C17">
        <f>SQRT(C15)</f>
        <v>0.37058512292499463</v>
      </c>
      <c r="D17">
        <f>SQRT(D15)</f>
        <v>1.3952697867358042</v>
      </c>
      <c r="E17">
        <f>SQRT(E15)</f>
        <v>1.2730104302618872</v>
      </c>
      <c r="F17">
        <f>SQRT(F15)</f>
        <v>1.3688600285557972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E2486-8ADC-416B-9E66-45F96ECAD45B}">
  <dimension ref="A1:F17"/>
  <sheetViews>
    <sheetView workbookViewId="0">
      <selection activeCell="A13" sqref="A13"/>
    </sheetView>
  </sheetViews>
  <sheetFormatPr defaultRowHeight="14.4" x14ac:dyDescent="0.3"/>
  <cols>
    <col min="1" max="1" width="56.21875" customWidth="1"/>
    <col min="2" max="2" width="21.33203125" customWidth="1"/>
    <col min="3" max="3" width="22.109375" customWidth="1"/>
    <col min="4" max="4" width="22" customWidth="1"/>
    <col min="5" max="5" width="20.6640625" customWidth="1"/>
    <col min="6" max="6" width="22" customWidth="1"/>
  </cols>
  <sheetData>
    <row r="1" spans="1:6" x14ac:dyDescent="0.3">
      <c r="A1" s="4" t="s">
        <v>52</v>
      </c>
      <c r="B1" s="5" t="s">
        <v>53</v>
      </c>
      <c r="C1" s="5" t="s">
        <v>54</v>
      </c>
      <c r="D1" s="5" t="s">
        <v>55</v>
      </c>
      <c r="E1" s="5" t="s">
        <v>56</v>
      </c>
      <c r="F1" s="6" t="s">
        <v>57</v>
      </c>
    </row>
    <row r="2" spans="1:6" x14ac:dyDescent="0.3">
      <c r="A2" t="s">
        <v>61</v>
      </c>
      <c r="B2">
        <f>'Natutal_illumination_light skin'!D2</f>
        <v>30</v>
      </c>
      <c r="C2">
        <f>'Natutal_illumination_light skin'!D3</f>
        <v>24.9</v>
      </c>
      <c r="D2">
        <f>'Natutal_illumination_light skin'!D4</f>
        <v>23</v>
      </c>
      <c r="E2">
        <f>'Natutal_illumination_light skin'!D5</f>
        <v>21</v>
      </c>
      <c r="F2">
        <f>'Natutal_illumination_light skin'!D6</f>
        <v>21</v>
      </c>
    </row>
    <row r="3" spans="1:6" x14ac:dyDescent="0.3">
      <c r="A3" t="s">
        <v>59</v>
      </c>
      <c r="B3">
        <f>Naural_Illumination_dark_skinwg!$D$2</f>
        <v>29.5</v>
      </c>
      <c r="C3">
        <f>Naural_Illumination_dark_skinwg!$D$3</f>
        <v>25.75</v>
      </c>
      <c r="D3">
        <f>Naural_Illumination_dark_skinwg!$D$4</f>
        <v>24</v>
      </c>
      <c r="E3">
        <f>Naural_Illumination_dark_skinwg!$D$5</f>
        <v>24</v>
      </c>
      <c r="F3">
        <f>Naural_Illumination_dark_skinwg!$D$6</f>
        <v>22.5</v>
      </c>
    </row>
    <row r="4" spans="1:6" x14ac:dyDescent="0.3">
      <c r="A4" t="s">
        <v>60</v>
      </c>
      <c r="B4">
        <f>Naural_Illumination_darkskinwtg!$D$2</f>
        <v>31.5</v>
      </c>
      <c r="C4">
        <f>Naural_Illumination_darkskinwtg!$D$3</f>
        <v>27</v>
      </c>
      <c r="D4">
        <f>Naural_Illumination_darkskinwtg!$D$4</f>
        <v>24.3</v>
      </c>
      <c r="E4">
        <f>Naural_Illumination_darkskinwtg!$D$5</f>
        <v>22.5</v>
      </c>
      <c r="F4">
        <f>Naural_Illumination_darkskinwtg!$D$6</f>
        <v>22</v>
      </c>
    </row>
    <row r="5" spans="1:6" x14ac:dyDescent="0.3">
      <c r="A5" t="s">
        <v>58</v>
      </c>
      <c r="B5">
        <f>Artificial_Illumination_Light_s!D2</f>
        <v>29</v>
      </c>
      <c r="C5">
        <f>Artificial_Illumination_Light_s!D3</f>
        <v>25.6</v>
      </c>
      <c r="D5">
        <f>Artificial_Illumination_Light_s!D4</f>
        <v>24</v>
      </c>
      <c r="E5">
        <f>Artificial_Illumination_Light_s!D5</f>
        <v>22.5</v>
      </c>
      <c r="F5">
        <f>Artificial_Illumination_Light_s!D6</f>
        <v>22</v>
      </c>
    </row>
    <row r="6" spans="1:6" x14ac:dyDescent="0.3">
      <c r="A6" t="s">
        <v>62</v>
      </c>
      <c r="B6">
        <f>artificial_illuminatn_dksknwG!D2</f>
        <v>30</v>
      </c>
      <c r="C6">
        <f>artificial_illuminatn_dksknwG!D3</f>
        <v>26.8</v>
      </c>
      <c r="D6">
        <f>artificial_illuminatn_dksknwG!D4</f>
        <v>24.5</v>
      </c>
      <c r="E6">
        <f>artificial_illuminatn_dksknwG!D5</f>
        <v>24.4</v>
      </c>
      <c r="F6">
        <f>artificial_illuminatn_dksknwG!D6</f>
        <v>23</v>
      </c>
    </row>
    <row r="7" spans="1:6" x14ac:dyDescent="0.3">
      <c r="A7" t="s">
        <v>63</v>
      </c>
      <c r="B7">
        <f>Artificial_illumination_Dark_sk!$D$2</f>
        <v>31</v>
      </c>
      <c r="C7">
        <f>Artificial_illumination_Dark_sk!$D$3</f>
        <v>27.5</v>
      </c>
      <c r="D7">
        <f>Artificial_illumination_Dark_sk!$D$4</f>
        <v>25</v>
      </c>
      <c r="E7">
        <f>Artificial_illumination_Dark_sk!$D$5</f>
        <v>24.5</v>
      </c>
      <c r="F7">
        <f>Artificial_illumination_Dark_sk!$D$6</f>
        <v>23.8</v>
      </c>
    </row>
    <row r="8" spans="1:6" x14ac:dyDescent="0.3">
      <c r="A8" t="s">
        <v>64</v>
      </c>
      <c r="B8">
        <f>'Natutal_Illuminatn _ltsknwg'!D2</f>
        <v>30.5</v>
      </c>
      <c r="C8">
        <f>'Natutal_Illuminatn _ltsknwg'!D3</f>
        <v>26</v>
      </c>
      <c r="D8">
        <f>'Natutal_Illuminatn _ltsknwg'!D4</f>
        <v>24.5</v>
      </c>
      <c r="E8">
        <f>'Natutal_Illuminatn _ltsknwg'!D5</f>
        <v>23</v>
      </c>
      <c r="F8">
        <f>'Natutal_Illuminatn _ltsknwg'!D6</f>
        <v>22.5</v>
      </c>
    </row>
    <row r="9" spans="1:6" x14ac:dyDescent="0.3">
      <c r="A9" t="s">
        <v>65</v>
      </c>
      <c r="B9">
        <f>'Natutal_Illuminatn _ltsknwhgl'!D2</f>
        <v>31.2</v>
      </c>
      <c r="C9">
        <f>'Natutal_Illuminatn _ltsknwhgl'!D3</f>
        <v>26</v>
      </c>
      <c r="D9">
        <f>'Natutal_Illuminatn _ltsknwhgl'!D4</f>
        <v>25</v>
      </c>
      <c r="E9">
        <f>'Natutal_Illuminatn _ltsknwhgl'!D5</f>
        <v>24</v>
      </c>
      <c r="F9">
        <f>'Natutal_Illuminatn _ltsknwhgl'!D6</f>
        <v>23.3</v>
      </c>
    </row>
    <row r="10" spans="1:6" x14ac:dyDescent="0.3">
      <c r="A10" t="s">
        <v>66</v>
      </c>
      <c r="B10">
        <f>artificial_illumintn_litsknwg!D2</f>
        <v>29.5</v>
      </c>
      <c r="C10">
        <f>artificial_illumintn_litsknwg!D3</f>
        <v>26.3</v>
      </c>
      <c r="D10">
        <f>artificial_illumintn_litsknwg!D4</f>
        <v>25</v>
      </c>
      <c r="E10">
        <f>artificial_illumintn_litsknwg!D5</f>
        <v>24.3</v>
      </c>
      <c r="F10">
        <f>artificial_illumintn_litsknwg!D6</f>
        <v>24</v>
      </c>
    </row>
    <row r="11" spans="1:6" x14ac:dyDescent="0.3">
      <c r="A11" t="s">
        <v>67</v>
      </c>
      <c r="B11">
        <f>artificial_illumintn_litsknwhgl!D2</f>
        <v>30.5</v>
      </c>
      <c r="C11">
        <f>artificial_illumintn_litsknwhgl!D3</f>
        <v>26.3</v>
      </c>
      <c r="D11">
        <f>artificial_illumintn_litsknwhgl!D4</f>
        <v>25.3</v>
      </c>
      <c r="E11">
        <f>artificial_illumintn_litsknwhgl!D5</f>
        <v>24.8</v>
      </c>
      <c r="F11">
        <f>artificial_illumintn_litsknwhgl!D6</f>
        <v>24</v>
      </c>
    </row>
    <row r="13" spans="1:6" x14ac:dyDescent="0.3">
      <c r="A13" s="7" t="s">
        <v>70</v>
      </c>
      <c r="B13">
        <f>AVERAGE(B2:B11)</f>
        <v>30.27</v>
      </c>
      <c r="C13">
        <f t="shared" ref="C13:F13" si="0">AVERAGE(C2:C11)</f>
        <v>26.215000000000003</v>
      </c>
      <c r="D13">
        <f t="shared" si="0"/>
        <v>24.46</v>
      </c>
      <c r="E13">
        <f t="shared" si="0"/>
        <v>23.500000000000004</v>
      </c>
      <c r="F13">
        <f t="shared" si="0"/>
        <v>22.810000000000002</v>
      </c>
    </row>
    <row r="15" spans="1:6" x14ac:dyDescent="0.3">
      <c r="A15" s="7" t="s">
        <v>71</v>
      </c>
      <c r="B15">
        <f>_xlfn.VAR.S(B2:B11)</f>
        <v>0.66233333333333322</v>
      </c>
      <c r="C15">
        <f>_xlfn.VAR.S(C2:C11)</f>
        <v>0.56002777777777801</v>
      </c>
      <c r="D15">
        <f>VAR(D2:D11)</f>
        <v>0.46266666666666662</v>
      </c>
      <c r="E15">
        <f>_xlfn.VAR.S(E2:E11)</f>
        <v>1.46</v>
      </c>
      <c r="F15">
        <f>_xlfn.VAR.S(F2:F11)</f>
        <v>0.98544444444444479</v>
      </c>
    </row>
    <row r="16" spans="1:6" x14ac:dyDescent="0.3">
      <c r="A16" s="7"/>
    </row>
    <row r="17" spans="1:6" x14ac:dyDescent="0.3">
      <c r="A17" s="7" t="s">
        <v>72</v>
      </c>
      <c r="B17">
        <f>SQRT(B15)</f>
        <v>0.81383864084555069</v>
      </c>
      <c r="C17">
        <f>SQRT(C15)</f>
        <v>0.74835003693310398</v>
      </c>
      <c r="D17">
        <f>SQRT(D15)</f>
        <v>0.68019605016985107</v>
      </c>
      <c r="E17">
        <f>SQRT(E15)</f>
        <v>1.2083045973594573</v>
      </c>
      <c r="F17">
        <f>SQRT(F15)</f>
        <v>0.99269554468852372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2D13E-2445-47DB-8C3A-B50FCD7DFCD3}">
  <dimension ref="A1:D6"/>
  <sheetViews>
    <sheetView workbookViewId="0">
      <selection activeCell="I4" sqref="I4"/>
    </sheetView>
  </sheetViews>
  <sheetFormatPr defaultRowHeight="14.4" x14ac:dyDescent="0.3"/>
  <cols>
    <col min="1" max="1" width="12.109375" customWidth="1"/>
    <col min="2" max="2" width="19.88671875" customWidth="1"/>
    <col min="3" max="3" width="18" customWidth="1"/>
    <col min="4" max="4" width="20.33203125" customWidth="1"/>
  </cols>
  <sheetData>
    <row r="1" spans="1:4" x14ac:dyDescent="0.3">
      <c r="A1" s="1" t="s">
        <v>74</v>
      </c>
      <c r="B1" s="2" t="s">
        <v>75</v>
      </c>
      <c r="C1" s="2" t="s">
        <v>76</v>
      </c>
      <c r="D1" s="3" t="s">
        <v>77</v>
      </c>
    </row>
    <row r="2" spans="1:4" x14ac:dyDescent="0.3">
      <c r="A2" t="s">
        <v>78</v>
      </c>
      <c r="B2">
        <f>readingdistancePimoroniMLX9064!B13</f>
        <v>29.45</v>
      </c>
      <c r="C2">
        <f>'readingdistanceRSPROT-10'!B13</f>
        <v>30.100000000000005</v>
      </c>
      <c r="D2">
        <f>readingdistnceRobotshopMLX90640!B13</f>
        <v>30.27</v>
      </c>
    </row>
    <row r="3" spans="1:4" x14ac:dyDescent="0.3">
      <c r="A3" t="s">
        <v>79</v>
      </c>
      <c r="B3">
        <f>readingdistancePimoroniMLX9064!C13</f>
        <v>25.56</v>
      </c>
      <c r="C3">
        <f>'readingdistanceRSPROT-10'!C13</f>
        <v>28.979999999999997</v>
      </c>
      <c r="D3">
        <f>readingdistnceRobotshopMLX90640!C13</f>
        <v>26.215000000000003</v>
      </c>
    </row>
    <row r="4" spans="1:4" x14ac:dyDescent="0.3">
      <c r="A4" t="s">
        <v>80</v>
      </c>
      <c r="B4">
        <f>readingdistancePimoroniMLX9064!D13</f>
        <v>23.92</v>
      </c>
      <c r="C4">
        <f>'readingdistanceRSPROT-10'!D13</f>
        <v>27.429999999999996</v>
      </c>
      <c r="D4">
        <f>readingdistnceRobotshopMLX90640!D13</f>
        <v>24.46</v>
      </c>
    </row>
    <row r="5" spans="1:4" x14ac:dyDescent="0.3">
      <c r="A5" t="s">
        <v>81</v>
      </c>
      <c r="B5">
        <f>readingdistancePimoroniMLX9064!E13</f>
        <v>22.615000000000002</v>
      </c>
      <c r="C5">
        <f>'readingdistanceRSPROT-10'!E13</f>
        <v>26.45</v>
      </c>
      <c r="D5">
        <f>readingdistnceRobotshopMLX90640!E13</f>
        <v>23.500000000000004</v>
      </c>
    </row>
    <row r="6" spans="1:4" x14ac:dyDescent="0.3">
      <c r="A6" t="s">
        <v>82</v>
      </c>
      <c r="B6">
        <f>readingdistancePimoroniMLX9064!F13</f>
        <v>22.140000000000004</v>
      </c>
      <c r="C6">
        <f>'readingdistanceRSPROT-10'!F13</f>
        <v>24.84</v>
      </c>
      <c r="D6">
        <f>readingdistnceRobotshopMLX90640!F13</f>
        <v>22.810000000000002</v>
      </c>
    </row>
  </sheetData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82B38-A5F9-40D4-B339-4B2891D5EDAD}">
  <dimension ref="A1:D6"/>
  <sheetViews>
    <sheetView workbookViewId="0">
      <selection activeCell="H7" sqref="H7"/>
    </sheetView>
  </sheetViews>
  <sheetFormatPr defaultRowHeight="14.4" x14ac:dyDescent="0.3"/>
  <cols>
    <col min="2" max="2" width="19.5546875" customWidth="1"/>
    <col min="3" max="3" width="14.77734375" customWidth="1"/>
    <col min="4" max="4" width="21.21875" customWidth="1"/>
  </cols>
  <sheetData>
    <row r="1" spans="1:4" x14ac:dyDescent="0.3">
      <c r="A1" s="1" t="s">
        <v>74</v>
      </c>
      <c r="B1" s="2" t="s">
        <v>75</v>
      </c>
      <c r="C1" s="2" t="s">
        <v>76</v>
      </c>
      <c r="D1" s="3" t="s">
        <v>77</v>
      </c>
    </row>
    <row r="2" spans="1:4" x14ac:dyDescent="0.3">
      <c r="A2" t="s">
        <v>78</v>
      </c>
      <c r="B2">
        <f>readingdistancePimoroniMLX9064!B17</f>
        <v>0.71995370221517241</v>
      </c>
      <c r="C2">
        <f>'readingdistanceRSPROT-10'!B17</f>
        <v>0.45704364002673625</v>
      </c>
      <c r="D2">
        <f>readingdistnceRobotshopMLX90640!B17</f>
        <v>0.81383864084555069</v>
      </c>
    </row>
    <row r="3" spans="1:4" x14ac:dyDescent="0.3">
      <c r="A3" t="s">
        <v>79</v>
      </c>
      <c r="B3">
        <f>readingdistancePimoroniMLX9064!C17</f>
        <v>0.73060097028253224</v>
      </c>
      <c r="C3">
        <f>'readingdistanceRSPROT-10'!C17</f>
        <v>0.37058512292499463</v>
      </c>
      <c r="D3">
        <f>readingdistnceRobotshopMLX90640!C17</f>
        <v>0.74835003693310398</v>
      </c>
    </row>
    <row r="4" spans="1:4" x14ac:dyDescent="0.3">
      <c r="A4" t="s">
        <v>80</v>
      </c>
      <c r="B4">
        <f>readingdistancePimoroniMLX9064!D17</f>
        <v>0.48027769744874349</v>
      </c>
      <c r="C4">
        <f>'readingdistanceRSPROT-10'!D17</f>
        <v>1.3952697867358042</v>
      </c>
      <c r="D4">
        <f>readingdistnceRobotshopMLX90640!D17</f>
        <v>0.68019605016985107</v>
      </c>
    </row>
    <row r="5" spans="1:4" x14ac:dyDescent="0.3">
      <c r="A5" t="s">
        <v>81</v>
      </c>
      <c r="B5">
        <f>readingdistancePimoroniMLX9064!E17</f>
        <v>0.74909204300198584</v>
      </c>
      <c r="C5">
        <f>'readingdistanceRSPROT-10'!E17</f>
        <v>1.2730104302618872</v>
      </c>
      <c r="D5">
        <f>readingdistnceRobotshopMLX90640!E17</f>
        <v>1.2083045973594573</v>
      </c>
    </row>
    <row r="6" spans="1:4" x14ac:dyDescent="0.3">
      <c r="A6" t="s">
        <v>82</v>
      </c>
      <c r="B6">
        <f>readingdistancePimoroniMLX9064!F17</f>
        <v>0.78343970908920479</v>
      </c>
      <c r="C6">
        <f>'readingdistanceRSPROT-10'!F17</f>
        <v>1.3688600285557972</v>
      </c>
      <c r="D6">
        <f>readingdistnceRobotshopMLX90640!F17</f>
        <v>0.99269554468852372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8A6E3-CFDB-4F47-B429-9FB2E90C8167}">
  <dimension ref="A1:J7"/>
  <sheetViews>
    <sheetView tabSelected="1" workbookViewId="0">
      <selection activeCell="M10" sqref="M10"/>
    </sheetView>
  </sheetViews>
  <sheetFormatPr defaultRowHeight="14.4" x14ac:dyDescent="0.3"/>
  <cols>
    <col min="2" max="2" width="18.21875" customWidth="1"/>
    <col min="3" max="3" width="11.109375" customWidth="1"/>
    <col min="4" max="4" width="18.21875" customWidth="1"/>
    <col min="8" max="8" width="18.21875" customWidth="1"/>
    <col min="9" max="9" width="16.88671875" customWidth="1"/>
    <col min="10" max="10" width="18.88671875" customWidth="1"/>
  </cols>
  <sheetData>
    <row r="1" spans="1:10" x14ac:dyDescent="0.3">
      <c r="B1" t="s">
        <v>83</v>
      </c>
      <c r="H1" t="s">
        <v>84</v>
      </c>
    </row>
    <row r="2" spans="1:10" x14ac:dyDescent="0.3">
      <c r="A2" t="str">
        <f>Avarageateachdistance!A1</f>
        <v>Distance</v>
      </c>
      <c r="B2" t="str">
        <f>Avarageateachdistance!B1</f>
        <v>Pimoroni MLX90640</v>
      </c>
      <c r="C2" t="str">
        <f>Avarageateachdistance!C1</f>
        <v xml:space="preserve"> RS PRO T-10</v>
      </c>
      <c r="D2" t="str">
        <f>Avarageateachdistance!D1</f>
        <v>Robotshop MLX90640</v>
      </c>
      <c r="G2" t="str">
        <f>SDateachdiatnce!A1</f>
        <v>Distance</v>
      </c>
      <c r="H2" t="str">
        <f>SDateachdiatnce!B1</f>
        <v>Pimoroni MLX90640</v>
      </c>
      <c r="I2" t="str">
        <f>SDateachdiatnce!C1</f>
        <v xml:space="preserve"> RS PRO T-10</v>
      </c>
      <c r="J2" t="str">
        <f>SDateachdiatnce!D1</f>
        <v>Robotshop MLX90640</v>
      </c>
    </row>
    <row r="3" spans="1:10" x14ac:dyDescent="0.3">
      <c r="A3" t="str">
        <f>Avarageateachdistance!A2</f>
        <v>1 Metre</v>
      </c>
      <c r="B3">
        <f>Avarageateachdistance!B2</f>
        <v>29.45</v>
      </c>
      <c r="C3">
        <f>Avarageateachdistance!C2</f>
        <v>30.100000000000005</v>
      </c>
      <c r="D3">
        <f>Avarageateachdistance!D2</f>
        <v>30.27</v>
      </c>
      <c r="G3" t="str">
        <f>SDateachdiatnce!A2</f>
        <v>1 Metre</v>
      </c>
      <c r="H3">
        <f>SDateachdiatnce!B2</f>
        <v>0.71995370221517241</v>
      </c>
      <c r="I3">
        <f>SDateachdiatnce!C2</f>
        <v>0.45704364002673625</v>
      </c>
      <c r="J3">
        <f>SDateachdiatnce!D2</f>
        <v>0.81383864084555069</v>
      </c>
    </row>
    <row r="4" spans="1:10" x14ac:dyDescent="0.3">
      <c r="A4" t="str">
        <f>Avarageateachdistance!A3</f>
        <v>2 Metres</v>
      </c>
      <c r="B4">
        <f>Avarageateachdistance!B3</f>
        <v>25.56</v>
      </c>
      <c r="C4">
        <f>Avarageateachdistance!C3</f>
        <v>28.979999999999997</v>
      </c>
      <c r="D4">
        <f>Avarageateachdistance!D3</f>
        <v>26.215000000000003</v>
      </c>
      <c r="G4" t="str">
        <f>SDateachdiatnce!A3</f>
        <v>2 Metres</v>
      </c>
      <c r="H4">
        <f>SDateachdiatnce!B3</f>
        <v>0.73060097028253224</v>
      </c>
      <c r="I4">
        <f>SDateachdiatnce!C3</f>
        <v>0.37058512292499463</v>
      </c>
      <c r="J4">
        <f>SDateachdiatnce!D3</f>
        <v>0.74835003693310398</v>
      </c>
    </row>
    <row r="5" spans="1:10" x14ac:dyDescent="0.3">
      <c r="A5" t="str">
        <f>Avarageateachdistance!A4</f>
        <v>3 Metres</v>
      </c>
      <c r="B5">
        <f>Avarageateachdistance!B4</f>
        <v>23.92</v>
      </c>
      <c r="C5">
        <f>Avarageateachdistance!C4</f>
        <v>27.429999999999996</v>
      </c>
      <c r="D5">
        <f>Avarageateachdistance!D4</f>
        <v>24.46</v>
      </c>
      <c r="G5" t="str">
        <f>SDateachdiatnce!A4</f>
        <v>3 Metres</v>
      </c>
      <c r="H5">
        <f>SDateachdiatnce!B4</f>
        <v>0.48027769744874349</v>
      </c>
      <c r="I5">
        <f>SDateachdiatnce!C4</f>
        <v>1.3952697867358042</v>
      </c>
      <c r="J5">
        <f>SDateachdiatnce!D4</f>
        <v>0.68019605016985107</v>
      </c>
    </row>
    <row r="6" spans="1:10" x14ac:dyDescent="0.3">
      <c r="A6" t="str">
        <f>Avarageateachdistance!A5</f>
        <v>4 Metres</v>
      </c>
      <c r="B6">
        <f>Avarageateachdistance!B5</f>
        <v>22.615000000000002</v>
      </c>
      <c r="C6">
        <f>Avarageateachdistance!C5</f>
        <v>26.45</v>
      </c>
      <c r="D6">
        <f>Avarageateachdistance!D5</f>
        <v>23.500000000000004</v>
      </c>
      <c r="G6" t="str">
        <f>SDateachdiatnce!A5</f>
        <v>4 Metres</v>
      </c>
      <c r="H6">
        <f>SDateachdiatnce!B5</f>
        <v>0.74909204300198584</v>
      </c>
      <c r="I6">
        <f>SDateachdiatnce!C5</f>
        <v>1.2730104302618872</v>
      </c>
      <c r="J6">
        <f>SDateachdiatnce!D5</f>
        <v>1.2083045973594573</v>
      </c>
    </row>
    <row r="7" spans="1:10" x14ac:dyDescent="0.3">
      <c r="A7" t="str">
        <f>Avarageateachdistance!A6</f>
        <v>5 Metres</v>
      </c>
      <c r="B7">
        <f>Avarageateachdistance!B6</f>
        <v>22.140000000000004</v>
      </c>
      <c r="C7">
        <f>Avarageateachdistance!C6</f>
        <v>24.84</v>
      </c>
      <c r="D7">
        <f>Avarageateachdistance!D6</f>
        <v>22.810000000000002</v>
      </c>
      <c r="G7" t="str">
        <f>SDateachdiatnce!A6</f>
        <v>5 Metres</v>
      </c>
      <c r="H7">
        <f>SDateachdiatnce!B6</f>
        <v>0.78343970908920479</v>
      </c>
      <c r="I7">
        <f>SDateachdiatnce!C6</f>
        <v>1.3688600285557972</v>
      </c>
      <c r="J7">
        <f>SDateachdiatnce!D6</f>
        <v>0.99269554468852372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Natutal_illumination_light skin</vt:lpstr>
      <vt:lpstr>Naural_Illumination_dark_skinwg</vt:lpstr>
      <vt:lpstr>Naural_Illumination_darkskinwtg</vt:lpstr>
      <vt:lpstr>Artificial_Illumination_Light_s</vt:lpstr>
      <vt:lpstr>artificial_illuminatn_dksknwG</vt:lpstr>
      <vt:lpstr>Artificial_illumination_Dark_sk</vt:lpstr>
      <vt:lpstr>Natutal_Illuminatn _ltsknwg</vt:lpstr>
      <vt:lpstr>Natutal_Illuminatn _ltsknwhgl</vt:lpstr>
      <vt:lpstr>artificial_illumintn_litsknwg</vt:lpstr>
      <vt:lpstr>artificial_illumintn_litsknwhgl</vt:lpstr>
      <vt:lpstr>readingdistancePimoroniMLX9064</vt:lpstr>
      <vt:lpstr>readingdistanceRSPROT-10</vt:lpstr>
      <vt:lpstr>readingdistnceRobotshopMLX90640</vt:lpstr>
      <vt:lpstr>Avarageateachdistance</vt:lpstr>
      <vt:lpstr>SDateachdiatnce</vt:lpstr>
      <vt:lpstr>Average_SD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 Alagbe</dc:creator>
  <cp:lastModifiedBy>oluwatobi Alagbe</cp:lastModifiedBy>
  <dcterms:created xsi:type="dcterms:W3CDTF">2024-09-13T09:08:18Z</dcterms:created>
  <dcterms:modified xsi:type="dcterms:W3CDTF">2025-12-09T16:29:59Z</dcterms:modified>
</cp:coreProperties>
</file>