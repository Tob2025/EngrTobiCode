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tables/table24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2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4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6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37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8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0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1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3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4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5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2c7099617ee8b5/Desktop/MY THESIS BUILD UP/"/>
    </mc:Choice>
  </mc:AlternateContent>
  <xr:revisionPtr revIDLastSave="19" documentId="13_ncr:1_{F751528F-0CBF-4572-A6B7-42E58C077F6F}" xr6:coauthVersionLast="47" xr6:coauthVersionMax="47" xr10:uidLastSave="{CB2A58E4-1AAF-4D69-9533-6EA9A176E2BC}"/>
  <bookViews>
    <workbookView xWindow="-108" yWindow="-108" windowWidth="23256" windowHeight="13896" firstSheet="44" activeTab="45" xr2:uid="{2F05D422-C319-4938-A657-9E3052C6F581}"/>
  </bookViews>
  <sheets>
    <sheet name="Exp1_Tempreintervalof10mins_1" sheetId="1" r:id="rId1"/>
    <sheet name="Exp1_Tempreadintervalof2min_2" sheetId="2" r:id="rId2"/>
    <sheet name="Exp1_Tempreadingradomlypicked_3" sheetId="3" r:id="rId3"/>
    <sheet name="Exp1_bodydarkskinemissivity1_4" sheetId="5" r:id="rId4"/>
    <sheet name="Exp1_Bodydarkskinemissivity_5" sheetId="4" r:id="rId5"/>
    <sheet name="Exp1_bodylightskinemmisivity_6" sheetId="6" r:id="rId6"/>
    <sheet name="Exp1_bodylightskinemmisivity1_7" sheetId="7" r:id="rId7"/>
    <sheet name="Exp1_Lightskinlowtempnaturalh_8" sheetId="9" r:id="rId8"/>
    <sheet name="Exp1_Darkskinlowtempnaturalho_9" sheetId="10" r:id="rId9"/>
    <sheet name="Exp1_Darksknlowtepartificial_10" sheetId="12" r:id="rId10"/>
    <sheet name="Exp1_lghtsknlowtempartificia_11" sheetId="13" r:id="rId11"/>
    <sheet name="Exp1_CategoryofTempReadingfromP" sheetId="15" r:id="rId12"/>
    <sheet name="Exp1_CategoriesofTempreadingbyR" sheetId="16" r:id="rId13"/>
    <sheet name="Exp1_CategoriesofTempreadingRob" sheetId="17" r:id="rId14"/>
    <sheet name="Exp1_ RobotShpMLXMeanvarianceSD" sheetId="18" r:id="rId15"/>
    <sheet name="Exp1_RSPROT10MeanvarianceSD" sheetId="19" r:id="rId16"/>
    <sheet name="Exp1_PimoroniMLX90640MeanVrSD" sheetId="22" r:id="rId17"/>
    <sheet name="Exp1_averageforeachthermalcamra" sheetId="23" r:id="rId18"/>
    <sheet name="Exp1_VarianceateachThermalCamer" sheetId="24" r:id="rId19"/>
    <sheet name="Exp1_SDforeachThermalCamera" sheetId="25" r:id="rId20"/>
    <sheet name="Exp1_Average_SD" sheetId="26" r:id="rId21"/>
    <sheet name="Exp1_AV SD " sheetId="27" r:id="rId22"/>
    <sheet name="2Natutalillumination_light skin" sheetId="28" r:id="rId23"/>
    <sheet name="2NauralIllumination_dark_skinwg" sheetId="29" r:id="rId24"/>
    <sheet name="2NauralIllumination_darkskinwtg" sheetId="30" r:id="rId25"/>
    <sheet name="2ArtificialIllumination_Light_s" sheetId="31" r:id="rId26"/>
    <sheet name="2artificialilluminatn_dksknwG" sheetId="32" r:id="rId27"/>
    <sheet name="2Artificialillumination_Dark_sk" sheetId="33" r:id="rId28"/>
    <sheet name="2NatutalIlluminatn _ltsknwg" sheetId="34" r:id="rId29"/>
    <sheet name="2NatutalIlluminatn _ltsknwhgl" sheetId="35" r:id="rId30"/>
    <sheet name="2artificialillumintn_litsknwg" sheetId="36" r:id="rId31"/>
    <sheet name="2artificialillumintn_litsknwhgl" sheetId="37" r:id="rId32"/>
    <sheet name="readingdistancePimoroniMLX9064" sheetId="38" r:id="rId33"/>
    <sheet name="readingdistanceRSPROT-10" sheetId="39" r:id="rId34"/>
    <sheet name="readingdistnceRobotshopMLX90640" sheetId="40" r:id="rId35"/>
    <sheet name="Avarageateachdistance" sheetId="41" r:id="rId36"/>
    <sheet name="SDateachdiatnce" sheetId="42" r:id="rId37"/>
    <sheet name="Average_SD" sheetId="43" r:id="rId38"/>
    <sheet name="Pimoroni MLX90640" sheetId="44" r:id="rId39"/>
    <sheet name="RS PRO T-10 " sheetId="49" r:id="rId40"/>
    <sheet name="RobotShop MLX90640" sheetId="50" r:id="rId41"/>
    <sheet name="Avg_SD" sheetId="51" r:id="rId42"/>
    <sheet name="comparing_eyeglasses_graph" sheetId="52" r:id="rId43"/>
    <sheet name="Comparingbody_emissivity" sheetId="53" r:id="rId44"/>
    <sheet name="comparing_Illumination_source" sheetId="54" r:id="rId45"/>
    <sheet name="average 2 experiment at diff AT" sheetId="56" r:id="rId46"/>
    <sheet name="MLX-P" sheetId="57" r:id="rId47"/>
    <sheet name="AV_SD_MLX-P" sheetId="60" r:id="rId48"/>
    <sheet name="RS_T-10" sheetId="58" r:id="rId49"/>
    <sheet name="AV_SD_RS_T-10" sheetId="61" r:id="rId50"/>
    <sheet name="MLX-R" sheetId="59" r:id="rId51"/>
    <sheet name="AV_SD_MLX-R" sheetId="62" r:id="rId52"/>
    <sheet name="AV_MLX-P,R_T-10" sheetId="63" r:id="rId53"/>
  </sheets>
  <externalReferences>
    <externalReference r:id="rId5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2" l="1"/>
  <c r="J6" i="62"/>
  <c r="J5" i="62"/>
  <c r="J4" i="62"/>
  <c r="J3" i="62"/>
  <c r="I7" i="62"/>
  <c r="I6" i="62"/>
  <c r="I5" i="62"/>
  <c r="I4" i="62"/>
  <c r="I3" i="62"/>
  <c r="H7" i="62"/>
  <c r="H6" i="62"/>
  <c r="H5" i="62"/>
  <c r="H4" i="62"/>
  <c r="H3" i="62"/>
  <c r="D7" i="62"/>
  <c r="D6" i="62"/>
  <c r="D5" i="62"/>
  <c r="D4" i="62"/>
  <c r="D3" i="62"/>
  <c r="C7" i="62"/>
  <c r="C6" i="62"/>
  <c r="C5" i="62"/>
  <c r="C4" i="62"/>
  <c r="C3" i="62"/>
  <c r="B7" i="62"/>
  <c r="B6" i="62"/>
  <c r="B5" i="62"/>
  <c r="B4" i="62"/>
  <c r="B3" i="62"/>
  <c r="A2" i="62"/>
  <c r="C27" i="59"/>
  <c r="D27" i="59"/>
  <c r="E27" i="59"/>
  <c r="F27" i="59"/>
  <c r="B27" i="59"/>
  <c r="C26" i="59"/>
  <c r="D26" i="59"/>
  <c r="E26" i="59"/>
  <c r="F26" i="59"/>
  <c r="B26" i="59"/>
  <c r="C18" i="59"/>
  <c r="D18" i="59"/>
  <c r="E18" i="59"/>
  <c r="F18" i="59"/>
  <c r="B18" i="59"/>
  <c r="C17" i="59"/>
  <c r="D17" i="59"/>
  <c r="E17" i="59"/>
  <c r="F17" i="59"/>
  <c r="B17" i="59"/>
  <c r="A1" i="58"/>
  <c r="J7" i="61"/>
  <c r="J6" i="61"/>
  <c r="J5" i="61"/>
  <c r="J4" i="61"/>
  <c r="J3" i="61"/>
  <c r="I7" i="61"/>
  <c r="I6" i="61"/>
  <c r="I5" i="61"/>
  <c r="I4" i="61"/>
  <c r="I3" i="61"/>
  <c r="H7" i="61"/>
  <c r="H6" i="61"/>
  <c r="H5" i="61"/>
  <c r="H4" i="61"/>
  <c r="H3" i="61"/>
  <c r="D7" i="61"/>
  <c r="D6" i="61"/>
  <c r="D5" i="61"/>
  <c r="D4" i="61"/>
  <c r="D3" i="61"/>
  <c r="C7" i="61"/>
  <c r="C6" i="61"/>
  <c r="C5" i="61"/>
  <c r="C4" i="61"/>
  <c r="C3" i="61"/>
  <c r="C27" i="58"/>
  <c r="D27" i="58"/>
  <c r="E27" i="58"/>
  <c r="F27" i="58"/>
  <c r="B27" i="58"/>
  <c r="C26" i="58"/>
  <c r="D26" i="58"/>
  <c r="E26" i="58"/>
  <c r="F26" i="58"/>
  <c r="B26" i="58"/>
  <c r="C18" i="58"/>
  <c r="D18" i="58"/>
  <c r="E18" i="58"/>
  <c r="F18" i="58"/>
  <c r="B18" i="58"/>
  <c r="C17" i="58"/>
  <c r="D17" i="58"/>
  <c r="E17" i="58"/>
  <c r="F17" i="58"/>
  <c r="B17" i="58"/>
  <c r="B7" i="61"/>
  <c r="B6" i="61"/>
  <c r="B5" i="61"/>
  <c r="B4" i="61"/>
  <c r="B3" i="61"/>
  <c r="A2" i="61"/>
  <c r="J7" i="60"/>
  <c r="J6" i="60"/>
  <c r="J5" i="60"/>
  <c r="J4" i="60"/>
  <c r="J3" i="60"/>
  <c r="I7" i="60"/>
  <c r="I6" i="60"/>
  <c r="I5" i="60"/>
  <c r="I4" i="60"/>
  <c r="I3" i="60"/>
  <c r="H7" i="60"/>
  <c r="H6" i="60"/>
  <c r="H5" i="60"/>
  <c r="H4" i="60"/>
  <c r="H3" i="60"/>
  <c r="D7" i="60"/>
  <c r="D6" i="60"/>
  <c r="D5" i="60"/>
  <c r="D4" i="60"/>
  <c r="D3" i="60"/>
  <c r="C7" i="60"/>
  <c r="C6" i="60"/>
  <c r="C5" i="60"/>
  <c r="C4" i="60"/>
  <c r="C3" i="60"/>
  <c r="B7" i="60"/>
  <c r="B6" i="60"/>
  <c r="B5" i="60"/>
  <c r="B4" i="60"/>
  <c r="B3" i="60"/>
  <c r="A2" i="60"/>
  <c r="C28" i="57"/>
  <c r="D28" i="57"/>
  <c r="E28" i="57"/>
  <c r="F28" i="57"/>
  <c r="B28" i="57"/>
  <c r="C27" i="57"/>
  <c r="D27" i="57"/>
  <c r="E27" i="57"/>
  <c r="F27" i="57"/>
  <c r="B27" i="57"/>
  <c r="C20" i="57"/>
  <c r="D20" i="57"/>
  <c r="E20" i="57"/>
  <c r="F20" i="57"/>
  <c r="B20" i="57"/>
  <c r="C19" i="57"/>
  <c r="D19" i="57"/>
  <c r="E19" i="57"/>
  <c r="F19" i="57"/>
  <c r="B19" i="57"/>
  <c r="A23" i="59"/>
  <c r="B23" i="59"/>
  <c r="C23" i="59"/>
  <c r="D23" i="59"/>
  <c r="E23" i="59"/>
  <c r="F23" i="59"/>
  <c r="A24" i="59"/>
  <c r="B24" i="59"/>
  <c r="C24" i="59"/>
  <c r="D24" i="59"/>
  <c r="E24" i="59"/>
  <c r="F24" i="59"/>
  <c r="A21" i="59"/>
  <c r="B21" i="59"/>
  <c r="C21" i="59"/>
  <c r="D21" i="59"/>
  <c r="E21" i="59"/>
  <c r="F21" i="59"/>
  <c r="A22" i="59"/>
  <c r="B22" i="59"/>
  <c r="C22" i="59"/>
  <c r="D22" i="59"/>
  <c r="E22" i="59"/>
  <c r="F22" i="59"/>
  <c r="A23" i="58"/>
  <c r="B23" i="58"/>
  <c r="C23" i="58"/>
  <c r="D23" i="58"/>
  <c r="E23" i="58"/>
  <c r="F23" i="58"/>
  <c r="A24" i="58"/>
  <c r="B24" i="58"/>
  <c r="C24" i="58"/>
  <c r="D24" i="58"/>
  <c r="E24" i="58"/>
  <c r="F24" i="58"/>
  <c r="A21" i="58"/>
  <c r="B21" i="58"/>
  <c r="C21" i="58"/>
  <c r="D21" i="58"/>
  <c r="E21" i="58"/>
  <c r="F21" i="58"/>
  <c r="A22" i="58"/>
  <c r="B22" i="58"/>
  <c r="C22" i="58"/>
  <c r="D22" i="58"/>
  <c r="E22" i="58"/>
  <c r="F22" i="58"/>
  <c r="A24" i="57"/>
  <c r="B24" i="57"/>
  <c r="C24" i="57"/>
  <c r="D24" i="57"/>
  <c r="E24" i="57"/>
  <c r="F24" i="57"/>
  <c r="A25" i="57"/>
  <c r="B25" i="57"/>
  <c r="C25" i="57"/>
  <c r="D25" i="57"/>
  <c r="E25" i="57"/>
  <c r="F25" i="57"/>
  <c r="A22" i="57"/>
  <c r="B22" i="57"/>
  <c r="C22" i="57"/>
  <c r="D22" i="57"/>
  <c r="E22" i="57"/>
  <c r="F22" i="57"/>
  <c r="A23" i="57"/>
  <c r="B23" i="57"/>
  <c r="C23" i="57"/>
  <c r="D23" i="57"/>
  <c r="E23" i="57"/>
  <c r="F23" i="57"/>
  <c r="A14" i="59"/>
  <c r="B14" i="59"/>
  <c r="C14" i="59"/>
  <c r="D14" i="59"/>
  <c r="E14" i="59"/>
  <c r="F14" i="59"/>
  <c r="A15" i="59"/>
  <c r="B15" i="59"/>
  <c r="C15" i="59"/>
  <c r="D15" i="59"/>
  <c r="E15" i="59"/>
  <c r="F15" i="59"/>
  <c r="A12" i="59"/>
  <c r="B12" i="59"/>
  <c r="C12" i="59"/>
  <c r="D12" i="59"/>
  <c r="E12" i="59"/>
  <c r="F12" i="59"/>
  <c r="A13" i="59"/>
  <c r="B13" i="59"/>
  <c r="C13" i="59"/>
  <c r="D13" i="59"/>
  <c r="E13" i="59"/>
  <c r="F13" i="59"/>
  <c r="A14" i="58"/>
  <c r="B14" i="58"/>
  <c r="C14" i="58"/>
  <c r="D14" i="58"/>
  <c r="E14" i="58"/>
  <c r="F14" i="58"/>
  <c r="A15" i="58"/>
  <c r="B15" i="58"/>
  <c r="C15" i="58"/>
  <c r="D15" i="58"/>
  <c r="E15" i="58"/>
  <c r="F15" i="58"/>
  <c r="A12" i="58"/>
  <c r="B12" i="58"/>
  <c r="C12" i="58"/>
  <c r="D12" i="58"/>
  <c r="E12" i="58"/>
  <c r="F12" i="58"/>
  <c r="A13" i="58"/>
  <c r="B13" i="58"/>
  <c r="C13" i="58"/>
  <c r="D13" i="58"/>
  <c r="E13" i="58"/>
  <c r="F13" i="58"/>
  <c r="A16" i="57"/>
  <c r="B16" i="57"/>
  <c r="C16" i="57"/>
  <c r="D16" i="57"/>
  <c r="E16" i="57"/>
  <c r="F16" i="57"/>
  <c r="A17" i="57"/>
  <c r="B17" i="57"/>
  <c r="C17" i="57"/>
  <c r="D17" i="57"/>
  <c r="E17" i="57"/>
  <c r="F17" i="57"/>
  <c r="A14" i="57"/>
  <c r="B14" i="57"/>
  <c r="C14" i="57"/>
  <c r="D14" i="57"/>
  <c r="E14" i="57"/>
  <c r="F14" i="57"/>
  <c r="A15" i="57"/>
  <c r="B15" i="57"/>
  <c r="C15" i="57"/>
  <c r="D15" i="57"/>
  <c r="E15" i="57"/>
  <c r="F15" i="57"/>
  <c r="D7" i="59"/>
  <c r="F5" i="59"/>
  <c r="E5" i="59"/>
  <c r="D5" i="59"/>
  <c r="C5" i="59"/>
  <c r="B5" i="59"/>
  <c r="A5" i="59"/>
  <c r="F4" i="59"/>
  <c r="E4" i="59"/>
  <c r="D4" i="59"/>
  <c r="C4" i="59"/>
  <c r="B4" i="59"/>
  <c r="A4" i="59"/>
  <c r="F3" i="59"/>
  <c r="F7" i="59" s="1"/>
  <c r="E3" i="59"/>
  <c r="E7" i="59" s="1"/>
  <c r="D3" i="59"/>
  <c r="C3" i="59"/>
  <c r="B3" i="59"/>
  <c r="B7" i="59" s="1"/>
  <c r="A3" i="59"/>
  <c r="F2" i="59"/>
  <c r="F8" i="59" s="1"/>
  <c r="E2" i="59"/>
  <c r="E8" i="59" s="1"/>
  <c r="D2" i="59"/>
  <c r="D8" i="59" s="1"/>
  <c r="C2" i="59"/>
  <c r="C7" i="59" s="1"/>
  <c r="B2" i="59"/>
  <c r="B8" i="59" s="1"/>
  <c r="A2" i="59"/>
  <c r="F1" i="59"/>
  <c r="E1" i="59"/>
  <c r="D1" i="59"/>
  <c r="C1" i="59"/>
  <c r="B1" i="59"/>
  <c r="A1" i="59"/>
  <c r="D7" i="57"/>
  <c r="F5" i="57"/>
  <c r="E5" i="57"/>
  <c r="D5" i="57"/>
  <c r="C5" i="57"/>
  <c r="B5" i="57"/>
  <c r="A5" i="57"/>
  <c r="F4" i="57"/>
  <c r="E4" i="57"/>
  <c r="D4" i="57"/>
  <c r="C4" i="57"/>
  <c r="B4" i="57"/>
  <c r="A4" i="57"/>
  <c r="F3" i="57"/>
  <c r="E3" i="57"/>
  <c r="E7" i="57" s="1"/>
  <c r="D3" i="57"/>
  <c r="C3" i="57"/>
  <c r="B3" i="57"/>
  <c r="A3" i="57"/>
  <c r="F2" i="57"/>
  <c r="F8" i="57" s="1"/>
  <c r="E2" i="57"/>
  <c r="E8" i="57" s="1"/>
  <c r="D2" i="57"/>
  <c r="D8" i="57" s="1"/>
  <c r="C2" i="57"/>
  <c r="C7" i="57" s="1"/>
  <c r="B2" i="57"/>
  <c r="B8" i="57" s="1"/>
  <c r="A2" i="57"/>
  <c r="F1" i="57"/>
  <c r="E1" i="57"/>
  <c r="D1" i="57"/>
  <c r="C1" i="57"/>
  <c r="B1" i="57"/>
  <c r="A1" i="57"/>
  <c r="A4" i="58"/>
  <c r="A5" i="58"/>
  <c r="B4" i="58"/>
  <c r="C4" i="58"/>
  <c r="D4" i="58"/>
  <c r="E4" i="58"/>
  <c r="F4" i="58"/>
  <c r="B5" i="58"/>
  <c r="C5" i="58"/>
  <c r="D5" i="58"/>
  <c r="E5" i="58"/>
  <c r="F5" i="58"/>
  <c r="B1" i="58"/>
  <c r="C1" i="58"/>
  <c r="D1" i="58"/>
  <c r="E1" i="58"/>
  <c r="F1" i="58"/>
  <c r="A2" i="58"/>
  <c r="B2" i="58"/>
  <c r="C2" i="58"/>
  <c r="D2" i="58"/>
  <c r="E2" i="58"/>
  <c r="F2" i="58"/>
  <c r="A3" i="58"/>
  <c r="B3" i="58"/>
  <c r="C3" i="58"/>
  <c r="D3" i="58"/>
  <c r="E3" i="58"/>
  <c r="F3" i="58"/>
  <c r="J3" i="51"/>
  <c r="J4" i="51"/>
  <c r="J5" i="51"/>
  <c r="J6" i="51"/>
  <c r="J7" i="51"/>
  <c r="D3" i="51"/>
  <c r="D4" i="51"/>
  <c r="D5" i="51"/>
  <c r="D6" i="51"/>
  <c r="D7" i="51"/>
  <c r="I3" i="51"/>
  <c r="I4" i="51"/>
  <c r="I5" i="51"/>
  <c r="I6" i="51"/>
  <c r="I7" i="51"/>
  <c r="C3" i="51"/>
  <c r="C4" i="51"/>
  <c r="C5" i="51"/>
  <c r="C6" i="51"/>
  <c r="C7" i="51"/>
  <c r="H3" i="51"/>
  <c r="H4" i="51"/>
  <c r="H5" i="51"/>
  <c r="H6" i="51"/>
  <c r="H7" i="51"/>
  <c r="B3" i="51"/>
  <c r="B4" i="51"/>
  <c r="B5" i="51"/>
  <c r="B6" i="51"/>
  <c r="B7" i="51"/>
  <c r="J2" i="51"/>
  <c r="I2" i="51"/>
  <c r="H2" i="51"/>
  <c r="G2" i="51"/>
  <c r="D2" i="51"/>
  <c r="C2" i="51"/>
  <c r="B2" i="51"/>
  <c r="A2" i="51"/>
  <c r="C8" i="59" l="1"/>
  <c r="F7" i="58"/>
  <c r="B8" i="58"/>
  <c r="B7" i="57"/>
  <c r="F7" i="57"/>
  <c r="C8" i="57"/>
  <c r="E7" i="58"/>
  <c r="D7" i="58"/>
  <c r="C8" i="58"/>
  <c r="C7" i="58"/>
  <c r="B7" i="58"/>
  <c r="F8" i="58"/>
  <c r="E8" i="58"/>
  <c r="D8" i="58"/>
  <c r="F24" i="50"/>
  <c r="E24" i="50"/>
  <c r="D24" i="50"/>
  <c r="C24" i="50"/>
  <c r="B24" i="50"/>
  <c r="F22" i="50"/>
  <c r="E22" i="50"/>
  <c r="D22" i="50"/>
  <c r="C22" i="50"/>
  <c r="B22" i="50"/>
  <c r="F24" i="49"/>
  <c r="E24" i="49"/>
  <c r="D24" i="49"/>
  <c r="C24" i="49"/>
  <c r="B24" i="49"/>
  <c r="F22" i="49"/>
  <c r="E22" i="49"/>
  <c r="D22" i="49"/>
  <c r="C22" i="49"/>
  <c r="B22" i="49"/>
  <c r="F23" i="44"/>
  <c r="E23" i="44"/>
  <c r="D23" i="44"/>
  <c r="C23" i="44"/>
  <c r="B23" i="44"/>
  <c r="F21" i="44"/>
  <c r="E21" i="44"/>
  <c r="D21" i="44"/>
  <c r="C21" i="44"/>
  <c r="B21" i="44"/>
  <c r="B11" i="50"/>
  <c r="C11" i="50"/>
  <c r="D11" i="50"/>
  <c r="E11" i="50"/>
  <c r="F11" i="50"/>
  <c r="B11" i="49"/>
  <c r="C11" i="49"/>
  <c r="D11" i="49"/>
  <c r="E11" i="49"/>
  <c r="F11" i="49"/>
  <c r="B11" i="44"/>
  <c r="C11" i="44"/>
  <c r="D11" i="44"/>
  <c r="E11" i="44"/>
  <c r="F11" i="44"/>
  <c r="B10" i="50"/>
  <c r="C10" i="50"/>
  <c r="D10" i="50"/>
  <c r="E10" i="50"/>
  <c r="F10" i="50"/>
  <c r="B10" i="49"/>
  <c r="C10" i="49"/>
  <c r="D10" i="49"/>
  <c r="E10" i="49"/>
  <c r="F10" i="49"/>
  <c r="B10" i="44"/>
  <c r="C10" i="44"/>
  <c r="D10" i="44"/>
  <c r="E10" i="44"/>
  <c r="F10" i="44"/>
  <c r="B9" i="50"/>
  <c r="C9" i="50"/>
  <c r="D9" i="50"/>
  <c r="E9" i="50"/>
  <c r="F9" i="50"/>
  <c r="B9" i="49"/>
  <c r="C9" i="49"/>
  <c r="D9" i="49"/>
  <c r="E9" i="49"/>
  <c r="F9" i="49"/>
  <c r="B9" i="44"/>
  <c r="C9" i="44"/>
  <c r="D9" i="44"/>
  <c r="E9" i="44"/>
  <c r="F9" i="44"/>
  <c r="B8" i="50"/>
  <c r="C8" i="50"/>
  <c r="D8" i="50"/>
  <c r="E8" i="50"/>
  <c r="F8" i="50"/>
  <c r="B8" i="49"/>
  <c r="C8" i="49"/>
  <c r="D8" i="49"/>
  <c r="E8" i="49"/>
  <c r="F8" i="49"/>
  <c r="B8" i="44"/>
  <c r="C8" i="44"/>
  <c r="D8" i="44"/>
  <c r="E8" i="44"/>
  <c r="F8" i="44"/>
  <c r="B19" i="50"/>
  <c r="C19" i="50"/>
  <c r="D19" i="50"/>
  <c r="E19" i="50"/>
  <c r="F19" i="50"/>
  <c r="B19" i="49"/>
  <c r="C19" i="49"/>
  <c r="D19" i="49"/>
  <c r="E19" i="49"/>
  <c r="F19" i="49"/>
  <c r="B19" i="44"/>
  <c r="C19" i="44"/>
  <c r="D19" i="44"/>
  <c r="E19" i="44"/>
  <c r="F19" i="44"/>
  <c r="B18" i="50"/>
  <c r="C18" i="50"/>
  <c r="D18" i="50"/>
  <c r="E18" i="50"/>
  <c r="F18" i="50"/>
  <c r="B18" i="49"/>
  <c r="C18" i="49"/>
  <c r="D18" i="49"/>
  <c r="E18" i="49"/>
  <c r="F18" i="49"/>
  <c r="B18" i="44"/>
  <c r="C18" i="44"/>
  <c r="D18" i="44"/>
  <c r="E18" i="44"/>
  <c r="F18" i="44"/>
  <c r="B7" i="50"/>
  <c r="C7" i="50"/>
  <c r="D7" i="50"/>
  <c r="E7" i="50"/>
  <c r="F7" i="50"/>
  <c r="B7" i="49"/>
  <c r="C7" i="49"/>
  <c r="D7" i="49"/>
  <c r="E7" i="49"/>
  <c r="F7" i="49"/>
  <c r="B7" i="44"/>
  <c r="C7" i="44"/>
  <c r="D7" i="44"/>
  <c r="E7" i="44"/>
  <c r="F7" i="44"/>
  <c r="B17" i="50"/>
  <c r="C17" i="50"/>
  <c r="D17" i="50"/>
  <c r="E17" i="50"/>
  <c r="F17" i="50"/>
  <c r="B17" i="49"/>
  <c r="C17" i="49"/>
  <c r="D17" i="49"/>
  <c r="E17" i="49"/>
  <c r="F17" i="49"/>
  <c r="B17" i="44"/>
  <c r="C17" i="44"/>
  <c r="D17" i="44"/>
  <c r="E17" i="44"/>
  <c r="F17" i="44"/>
  <c r="B16" i="50"/>
  <c r="C16" i="50"/>
  <c r="D16" i="50"/>
  <c r="E16" i="50"/>
  <c r="F16" i="50"/>
  <c r="B16" i="49"/>
  <c r="C16" i="49"/>
  <c r="D16" i="49"/>
  <c r="E16" i="49"/>
  <c r="F16" i="49"/>
  <c r="B16" i="44"/>
  <c r="C16" i="44"/>
  <c r="D16" i="44"/>
  <c r="E16" i="44"/>
  <c r="F16" i="44"/>
  <c r="B6" i="50"/>
  <c r="C6" i="50"/>
  <c r="D6" i="50"/>
  <c r="E6" i="50"/>
  <c r="F6" i="50"/>
  <c r="B6" i="49"/>
  <c r="C6" i="49"/>
  <c r="D6" i="49"/>
  <c r="E6" i="49"/>
  <c r="F6" i="49"/>
  <c r="B6" i="44"/>
  <c r="C6" i="44"/>
  <c r="D6" i="44"/>
  <c r="E6" i="44"/>
  <c r="F6" i="44"/>
  <c r="B5" i="50"/>
  <c r="C5" i="50"/>
  <c r="D5" i="50"/>
  <c r="E5" i="50"/>
  <c r="F5" i="50"/>
  <c r="B5" i="49"/>
  <c r="C5" i="49"/>
  <c r="D5" i="49"/>
  <c r="E5" i="49"/>
  <c r="F5" i="49"/>
  <c r="B15" i="50"/>
  <c r="C15" i="50"/>
  <c r="D15" i="50"/>
  <c r="E15" i="50"/>
  <c r="F15" i="50"/>
  <c r="B15" i="49"/>
  <c r="C15" i="49"/>
  <c r="D15" i="49"/>
  <c r="E15" i="49"/>
  <c r="F15" i="49"/>
  <c r="B15" i="44"/>
  <c r="C15" i="44"/>
  <c r="D15" i="44"/>
  <c r="E15" i="44"/>
  <c r="F15" i="44"/>
  <c r="B14" i="50"/>
  <c r="C14" i="50"/>
  <c r="D14" i="50"/>
  <c r="E14" i="50"/>
  <c r="F14" i="50"/>
  <c r="B14" i="49"/>
  <c r="C14" i="49"/>
  <c r="D14" i="49"/>
  <c r="E14" i="49"/>
  <c r="F14" i="49"/>
  <c r="B14" i="44"/>
  <c r="C14" i="44"/>
  <c r="D14" i="44"/>
  <c r="E14" i="44"/>
  <c r="F14" i="44"/>
  <c r="B4" i="50"/>
  <c r="C4" i="50"/>
  <c r="D4" i="50"/>
  <c r="E4" i="50"/>
  <c r="F4" i="50"/>
  <c r="B4" i="49"/>
  <c r="C4" i="49"/>
  <c r="D4" i="49"/>
  <c r="E4" i="49"/>
  <c r="F4" i="49"/>
  <c r="B4" i="44"/>
  <c r="C4" i="44"/>
  <c r="D4" i="44"/>
  <c r="E4" i="44"/>
  <c r="F4" i="44"/>
  <c r="B3" i="50"/>
  <c r="C3" i="50"/>
  <c r="D3" i="50"/>
  <c r="E3" i="50"/>
  <c r="F3" i="50"/>
  <c r="B3" i="49"/>
  <c r="C3" i="49"/>
  <c r="D3" i="49"/>
  <c r="E3" i="49"/>
  <c r="F3" i="49"/>
  <c r="B3" i="44"/>
  <c r="C3" i="44"/>
  <c r="D3" i="44"/>
  <c r="E3" i="44"/>
  <c r="F3" i="44"/>
  <c r="B2" i="50"/>
  <c r="C2" i="50"/>
  <c r="D2" i="50"/>
  <c r="E2" i="50"/>
  <c r="F2" i="50"/>
  <c r="B2" i="49"/>
  <c r="C2" i="49"/>
  <c r="D2" i="49"/>
  <c r="E2" i="49"/>
  <c r="F2" i="49"/>
  <c r="B2" i="44"/>
  <c r="C2" i="44"/>
  <c r="D2" i="44"/>
  <c r="E2" i="44"/>
  <c r="F2" i="44"/>
  <c r="B13" i="50"/>
  <c r="C13" i="50"/>
  <c r="D13" i="50"/>
  <c r="E13" i="50"/>
  <c r="F13" i="50"/>
  <c r="B13" i="49"/>
  <c r="C13" i="49"/>
  <c r="D13" i="49"/>
  <c r="E13" i="49"/>
  <c r="F13" i="49"/>
  <c r="B13" i="44"/>
  <c r="C13" i="44"/>
  <c r="D13" i="44"/>
  <c r="E13" i="44"/>
  <c r="F13" i="44"/>
  <c r="B12" i="50"/>
  <c r="C12" i="50"/>
  <c r="D12" i="50"/>
  <c r="E12" i="50"/>
  <c r="F12" i="50"/>
  <c r="B12" i="49"/>
  <c r="C12" i="49"/>
  <c r="D12" i="49"/>
  <c r="E12" i="49"/>
  <c r="F12" i="49"/>
  <c r="B12" i="44"/>
  <c r="C12" i="44"/>
  <c r="D12" i="44"/>
  <c r="E12" i="44"/>
  <c r="F12" i="44"/>
  <c r="D9" i="37"/>
  <c r="C9" i="37"/>
  <c r="B9" i="37"/>
  <c r="D8" i="36"/>
  <c r="C8" i="36"/>
  <c r="B8" i="36"/>
  <c r="D9" i="35"/>
  <c r="C9" i="35"/>
  <c r="B9" i="35"/>
  <c r="D9" i="34"/>
  <c r="C9" i="34"/>
  <c r="B9" i="34"/>
  <c r="D9" i="33"/>
  <c r="C9" i="33"/>
  <c r="B9" i="33"/>
  <c r="D9" i="32"/>
  <c r="C9" i="32"/>
  <c r="B9" i="32"/>
  <c r="D9" i="31"/>
  <c r="C9" i="31"/>
  <c r="B9" i="31"/>
  <c r="D9" i="30"/>
  <c r="C9" i="30"/>
  <c r="B9" i="30"/>
  <c r="D9" i="29"/>
  <c r="C9" i="29"/>
  <c r="B9" i="29"/>
  <c r="D9" i="28"/>
  <c r="C9" i="28"/>
  <c r="B9" i="28"/>
  <c r="D9" i="13"/>
  <c r="C9" i="13"/>
  <c r="B9" i="13"/>
  <c r="D9" i="12"/>
  <c r="C9" i="12"/>
  <c r="B9" i="12"/>
  <c r="D9" i="10"/>
  <c r="C9" i="10"/>
  <c r="B9" i="10"/>
  <c r="D9" i="9"/>
  <c r="C9" i="9"/>
  <c r="B9" i="9"/>
  <c r="D9" i="7"/>
  <c r="C9" i="7"/>
  <c r="B9" i="7"/>
  <c r="D9" i="6"/>
  <c r="C9" i="6"/>
  <c r="B9" i="6"/>
  <c r="D9" i="4"/>
  <c r="C9" i="4"/>
  <c r="B9" i="4"/>
  <c r="D9" i="5"/>
  <c r="C9" i="5"/>
  <c r="B9" i="5"/>
  <c r="J7" i="43"/>
  <c r="I7" i="43"/>
  <c r="H7" i="43"/>
  <c r="G7" i="43"/>
  <c r="D7" i="43"/>
  <c r="C7" i="43"/>
  <c r="B7" i="43"/>
  <c r="A7" i="43"/>
  <c r="J6" i="43"/>
  <c r="I6" i="43"/>
  <c r="H6" i="43"/>
  <c r="G6" i="43"/>
  <c r="D6" i="43"/>
  <c r="C6" i="43"/>
  <c r="B6" i="43"/>
  <c r="A6" i="43"/>
  <c r="J5" i="43"/>
  <c r="I5" i="43"/>
  <c r="H5" i="43"/>
  <c r="G5" i="43"/>
  <c r="D5" i="43"/>
  <c r="C5" i="43"/>
  <c r="B5" i="43"/>
  <c r="A5" i="43"/>
  <c r="J4" i="43"/>
  <c r="I4" i="43"/>
  <c r="H4" i="43"/>
  <c r="G4" i="43"/>
  <c r="D4" i="43"/>
  <c r="C4" i="43"/>
  <c r="B4" i="43"/>
  <c r="A4" i="43"/>
  <c r="J3" i="43"/>
  <c r="I3" i="43"/>
  <c r="H3" i="43"/>
  <c r="G3" i="43"/>
  <c r="D3" i="43"/>
  <c r="C3" i="43"/>
  <c r="B3" i="43"/>
  <c r="A3" i="43"/>
  <c r="J2" i="43"/>
  <c r="I2" i="43"/>
  <c r="H2" i="43"/>
  <c r="G2" i="43"/>
  <c r="D2" i="43"/>
  <c r="C2" i="43"/>
  <c r="B2" i="43"/>
  <c r="A2" i="43"/>
  <c r="D6" i="42"/>
  <c r="C6" i="42"/>
  <c r="B6" i="42"/>
  <c r="D5" i="42"/>
  <c r="C5" i="42"/>
  <c r="B5" i="42"/>
  <c r="D4" i="42"/>
  <c r="C4" i="42"/>
  <c r="B4" i="42"/>
  <c r="D3" i="42"/>
  <c r="C3" i="42"/>
  <c r="B3" i="42"/>
  <c r="D2" i="42"/>
  <c r="C2" i="42"/>
  <c r="B2" i="42"/>
  <c r="D6" i="41"/>
  <c r="C6" i="41"/>
  <c r="B6" i="41"/>
  <c r="D5" i="41"/>
  <c r="C5" i="41"/>
  <c r="B5" i="41"/>
  <c r="D4" i="41"/>
  <c r="C4" i="41"/>
  <c r="B4" i="41"/>
  <c r="D3" i="41"/>
  <c r="C3" i="41"/>
  <c r="B3" i="41"/>
  <c r="D2" i="41"/>
  <c r="C2" i="41"/>
  <c r="B2" i="41"/>
  <c r="F11" i="40"/>
  <c r="E11" i="40"/>
  <c r="D11" i="40"/>
  <c r="C11" i="40"/>
  <c r="B11" i="40"/>
  <c r="F10" i="40"/>
  <c r="E10" i="40"/>
  <c r="D10" i="40"/>
  <c r="C10" i="40"/>
  <c r="B10" i="40"/>
  <c r="F9" i="40"/>
  <c r="E9" i="40"/>
  <c r="D9" i="40"/>
  <c r="C9" i="40"/>
  <c r="B9" i="40"/>
  <c r="F8" i="40"/>
  <c r="E8" i="40"/>
  <c r="D8" i="40"/>
  <c r="C8" i="40"/>
  <c r="B8" i="40"/>
  <c r="F7" i="40"/>
  <c r="E7" i="40"/>
  <c r="D7" i="40"/>
  <c r="C7" i="40"/>
  <c r="B7" i="40"/>
  <c r="F6" i="40"/>
  <c r="E6" i="40"/>
  <c r="D6" i="40"/>
  <c r="C6" i="40"/>
  <c r="B6" i="40"/>
  <c r="F5" i="40"/>
  <c r="E5" i="40"/>
  <c r="D5" i="40"/>
  <c r="C5" i="40"/>
  <c r="B5" i="40"/>
  <c r="F4" i="40"/>
  <c r="E4" i="40"/>
  <c r="D4" i="40"/>
  <c r="C4" i="40"/>
  <c r="B4" i="40"/>
  <c r="F3" i="40"/>
  <c r="E3" i="40"/>
  <c r="D3" i="40"/>
  <c r="C3" i="40"/>
  <c r="B3" i="40"/>
  <c r="F2" i="40"/>
  <c r="E2" i="40"/>
  <c r="D2" i="40"/>
  <c r="C2" i="40"/>
  <c r="B2" i="40"/>
  <c r="F11" i="39"/>
  <c r="E11" i="39"/>
  <c r="D11" i="39"/>
  <c r="C11" i="39"/>
  <c r="B11" i="39"/>
  <c r="F10" i="39"/>
  <c r="E10" i="39"/>
  <c r="D10" i="39"/>
  <c r="C10" i="39"/>
  <c r="B10" i="39"/>
  <c r="F9" i="39"/>
  <c r="E9" i="39"/>
  <c r="D9" i="39"/>
  <c r="C9" i="39"/>
  <c r="B9" i="39"/>
  <c r="F8" i="39"/>
  <c r="E8" i="39"/>
  <c r="D8" i="39"/>
  <c r="C8" i="39"/>
  <c r="B8" i="39"/>
  <c r="F7" i="39"/>
  <c r="E7" i="39"/>
  <c r="D7" i="39"/>
  <c r="C7" i="39"/>
  <c r="B7" i="39"/>
  <c r="F6" i="39"/>
  <c r="E6" i="39"/>
  <c r="D6" i="39"/>
  <c r="C6" i="39"/>
  <c r="B6" i="39"/>
  <c r="F5" i="39"/>
  <c r="E5" i="39"/>
  <c r="D5" i="39"/>
  <c r="C5" i="39"/>
  <c r="B5" i="39"/>
  <c r="F4" i="39"/>
  <c r="E4" i="39"/>
  <c r="D4" i="39"/>
  <c r="C4" i="39"/>
  <c r="B4" i="39"/>
  <c r="F3" i="39"/>
  <c r="E3" i="39"/>
  <c r="D3" i="39"/>
  <c r="C3" i="39"/>
  <c r="B3" i="39"/>
  <c r="F2" i="39"/>
  <c r="E2" i="39"/>
  <c r="D2" i="39"/>
  <c r="C2" i="39"/>
  <c r="B2" i="39"/>
  <c r="F11" i="38"/>
  <c r="E11" i="38"/>
  <c r="D11" i="38"/>
  <c r="C11" i="38"/>
  <c r="B11" i="38"/>
  <c r="F10" i="38"/>
  <c r="E10" i="38"/>
  <c r="D10" i="38"/>
  <c r="C10" i="38"/>
  <c r="B10" i="38"/>
  <c r="F9" i="38"/>
  <c r="E9" i="38"/>
  <c r="D9" i="38"/>
  <c r="C9" i="38"/>
  <c r="B9" i="38"/>
  <c r="F8" i="38"/>
  <c r="E8" i="38"/>
  <c r="D8" i="38"/>
  <c r="C8" i="38"/>
  <c r="B8" i="38"/>
  <c r="F7" i="38"/>
  <c r="E7" i="38"/>
  <c r="D7" i="38"/>
  <c r="C7" i="38"/>
  <c r="B7" i="38"/>
  <c r="F6" i="38"/>
  <c r="E6" i="38"/>
  <c r="D6" i="38"/>
  <c r="C6" i="38"/>
  <c r="B6" i="38"/>
  <c r="F5" i="38"/>
  <c r="E5" i="38"/>
  <c r="D5" i="38"/>
  <c r="C5" i="38"/>
  <c r="B5" i="38"/>
  <c r="F4" i="38"/>
  <c r="E4" i="38"/>
  <c r="D4" i="38"/>
  <c r="C4" i="38"/>
  <c r="B4" i="38"/>
  <c r="F3" i="38"/>
  <c r="E3" i="38"/>
  <c r="D3" i="38"/>
  <c r="C3" i="38"/>
  <c r="B3" i="38"/>
  <c r="F2" i="38"/>
  <c r="E2" i="38"/>
  <c r="D2" i="38"/>
  <c r="C2" i="38"/>
  <c r="B2" i="38"/>
  <c r="C15" i="38" l="1"/>
  <c r="C17" i="38" s="1"/>
  <c r="D13" i="39"/>
  <c r="B15" i="40"/>
  <c r="B17" i="40" s="1"/>
  <c r="F15" i="40"/>
  <c r="F17" i="40" s="1"/>
  <c r="D13" i="38"/>
  <c r="D15" i="38"/>
  <c r="D17" i="38" s="1"/>
  <c r="E15" i="39"/>
  <c r="E17" i="39" s="1"/>
  <c r="C15" i="40"/>
  <c r="C17" i="40" s="1"/>
  <c r="E13" i="40"/>
  <c r="B15" i="39"/>
  <c r="B17" i="39" s="1"/>
  <c r="F15" i="39"/>
  <c r="F17" i="39" s="1"/>
  <c r="D13" i="40"/>
  <c r="D15" i="40"/>
  <c r="D17" i="40" s="1"/>
  <c r="E15" i="38"/>
  <c r="E17" i="38" s="1"/>
  <c r="B15" i="38"/>
  <c r="B17" i="38" s="1"/>
  <c r="F15" i="38"/>
  <c r="F17" i="38" s="1"/>
  <c r="C15" i="39"/>
  <c r="C17" i="39" s="1"/>
  <c r="E13" i="39"/>
  <c r="D15" i="39"/>
  <c r="D17" i="39" s="1"/>
  <c r="E15" i="40"/>
  <c r="E17" i="40" s="1"/>
  <c r="B13" i="40"/>
  <c r="F13" i="40"/>
  <c r="C13" i="40"/>
  <c r="B13" i="39"/>
  <c r="F13" i="39"/>
  <c r="C13" i="39"/>
  <c r="E13" i="38"/>
  <c r="B13" i="38"/>
  <c r="F13" i="38"/>
  <c r="C13" i="38"/>
  <c r="A7" i="27" l="1"/>
  <c r="A6" i="27"/>
  <c r="A5" i="27"/>
  <c r="A4" i="27"/>
  <c r="A3" i="27"/>
  <c r="B3" i="15"/>
  <c r="B4" i="15"/>
  <c r="B5" i="15"/>
  <c r="B6" i="15"/>
  <c r="B7" i="15"/>
  <c r="B8" i="15"/>
  <c r="B9" i="15"/>
  <c r="B10" i="15"/>
  <c r="B11" i="15"/>
  <c r="B12" i="15"/>
  <c r="B13" i="15"/>
  <c r="F8" i="15"/>
  <c r="D7" i="22" s="1"/>
  <c r="A3" i="26"/>
  <c r="A4" i="26"/>
  <c r="A5" i="26"/>
  <c r="A6" i="26"/>
  <c r="A7" i="26"/>
  <c r="J13" i="17"/>
  <c r="J12" i="17"/>
  <c r="F11" i="18" s="1"/>
  <c r="J11" i="17"/>
  <c r="J10" i="17"/>
  <c r="F9" i="18" s="1"/>
  <c r="J9" i="17"/>
  <c r="F8" i="18" s="1"/>
  <c r="J8" i="17"/>
  <c r="F7" i="18" s="1"/>
  <c r="J7" i="17"/>
  <c r="F6" i="18" s="1"/>
  <c r="J6" i="17"/>
  <c r="F5" i="18" s="1"/>
  <c r="J5" i="17"/>
  <c r="J4" i="17"/>
  <c r="F3" i="18" s="1"/>
  <c r="J3" i="17"/>
  <c r="H13" i="17"/>
  <c r="H12" i="17"/>
  <c r="E11" i="18" s="1"/>
  <c r="H11" i="17"/>
  <c r="E10" i="18" s="1"/>
  <c r="H10" i="17"/>
  <c r="H9" i="17"/>
  <c r="E8" i="18" s="1"/>
  <c r="H8" i="17"/>
  <c r="E7" i="18" s="1"/>
  <c r="H7" i="17"/>
  <c r="E6" i="18" s="1"/>
  <c r="H6" i="17"/>
  <c r="E5" i="18" s="1"/>
  <c r="H5" i="17"/>
  <c r="E4" i="18" s="1"/>
  <c r="H4" i="17"/>
  <c r="H3" i="17"/>
  <c r="F13" i="17"/>
  <c r="F12" i="17"/>
  <c r="D11" i="18" s="1"/>
  <c r="F11" i="17"/>
  <c r="F10" i="17"/>
  <c r="D9" i="18" s="1"/>
  <c r="F9" i="17"/>
  <c r="D8" i="18" s="1"/>
  <c r="F8" i="17"/>
  <c r="F7" i="17"/>
  <c r="D6" i="18" s="1"/>
  <c r="F6" i="17"/>
  <c r="D5" i="18" s="1"/>
  <c r="F5" i="17"/>
  <c r="D4" i="18" s="1"/>
  <c r="F4" i="17"/>
  <c r="F3" i="17"/>
  <c r="D2" i="18" s="1"/>
  <c r="D13" i="17"/>
  <c r="D12" i="17"/>
  <c r="C11" i="18" s="1"/>
  <c r="D11" i="17"/>
  <c r="D10" i="17"/>
  <c r="D9" i="17"/>
  <c r="C8" i="18" s="1"/>
  <c r="D8" i="17"/>
  <c r="C7" i="18" s="1"/>
  <c r="D7" i="17"/>
  <c r="C6" i="18" s="1"/>
  <c r="D6" i="17"/>
  <c r="D5" i="17"/>
  <c r="D4" i="17"/>
  <c r="D3" i="17"/>
  <c r="B13" i="17"/>
  <c r="B12" i="17"/>
  <c r="B11" i="18" s="1"/>
  <c r="B11" i="17"/>
  <c r="B10" i="17"/>
  <c r="B9" i="18" s="1"/>
  <c r="B9" i="17"/>
  <c r="B8" i="18" s="1"/>
  <c r="B8" i="17"/>
  <c r="B7" i="18" s="1"/>
  <c r="B7" i="17"/>
  <c r="B6" i="17"/>
  <c r="B5" i="18" s="1"/>
  <c r="B5" i="17"/>
  <c r="B4" i="17"/>
  <c r="B3" i="18" s="1"/>
  <c r="B3" i="17"/>
  <c r="B2" i="18" s="1"/>
  <c r="J13" i="16"/>
  <c r="F12" i="19" s="1"/>
  <c r="J12" i="16"/>
  <c r="F11" i="19" s="1"/>
  <c r="J11" i="16"/>
  <c r="F10" i="19" s="1"/>
  <c r="J10" i="16"/>
  <c r="F9" i="19" s="1"/>
  <c r="J9" i="16"/>
  <c r="F8" i="19" s="1"/>
  <c r="J8" i="16"/>
  <c r="F7" i="19" s="1"/>
  <c r="J7" i="16"/>
  <c r="J6" i="16"/>
  <c r="J5" i="16"/>
  <c r="F4" i="19" s="1"/>
  <c r="J4" i="16"/>
  <c r="F3" i="19" s="1"/>
  <c r="J3" i="16"/>
  <c r="H13" i="16"/>
  <c r="H12" i="16"/>
  <c r="H11" i="16"/>
  <c r="E10" i="19" s="1"/>
  <c r="H10" i="16"/>
  <c r="H9" i="16"/>
  <c r="E8" i="19" s="1"/>
  <c r="H8" i="16"/>
  <c r="H7" i="16"/>
  <c r="E6" i="19" s="1"/>
  <c r="H6" i="16"/>
  <c r="E5" i="19" s="1"/>
  <c r="H5" i="16"/>
  <c r="H4" i="16"/>
  <c r="E3" i="19" s="1"/>
  <c r="H3" i="16"/>
  <c r="E2" i="19" s="1"/>
  <c r="F13" i="16"/>
  <c r="F12" i="16"/>
  <c r="D11" i="19" s="1"/>
  <c r="F11" i="16"/>
  <c r="D10" i="19" s="1"/>
  <c r="F10" i="16"/>
  <c r="D9" i="19" s="1"/>
  <c r="F9" i="16"/>
  <c r="D8" i="19" s="1"/>
  <c r="F8" i="16"/>
  <c r="F7" i="16"/>
  <c r="D6" i="19" s="1"/>
  <c r="F6" i="16"/>
  <c r="D5" i="19" s="1"/>
  <c r="F5" i="16"/>
  <c r="F4" i="16"/>
  <c r="D3" i="19" s="1"/>
  <c r="F3" i="16"/>
  <c r="D13" i="16"/>
  <c r="C12" i="19" s="1"/>
  <c r="D12" i="16"/>
  <c r="C11" i="19" s="1"/>
  <c r="D11" i="16"/>
  <c r="D10" i="16"/>
  <c r="C9" i="19" s="1"/>
  <c r="D9" i="16"/>
  <c r="C8" i="19" s="1"/>
  <c r="D8" i="16"/>
  <c r="C7" i="19" s="1"/>
  <c r="D7" i="16"/>
  <c r="C6" i="19" s="1"/>
  <c r="D6" i="16"/>
  <c r="C5" i="19" s="1"/>
  <c r="D5" i="16"/>
  <c r="C4" i="19" s="1"/>
  <c r="D4" i="16"/>
  <c r="D3" i="16"/>
  <c r="B13" i="16"/>
  <c r="B12" i="19" s="1"/>
  <c r="B12" i="16"/>
  <c r="B11" i="19" s="1"/>
  <c r="B11" i="16"/>
  <c r="B10" i="19" s="1"/>
  <c r="B10" i="16"/>
  <c r="B9" i="16"/>
  <c r="B8" i="19" s="1"/>
  <c r="B8" i="16"/>
  <c r="B7" i="19" s="1"/>
  <c r="B7" i="16"/>
  <c r="B6" i="19" s="1"/>
  <c r="B6" i="16"/>
  <c r="B5" i="16"/>
  <c r="B4" i="19" s="1"/>
  <c r="B4" i="16"/>
  <c r="B3" i="16"/>
  <c r="J13" i="15"/>
  <c r="F12" i="22" s="1"/>
  <c r="J12" i="15"/>
  <c r="J11" i="15"/>
  <c r="F10" i="22" s="1"/>
  <c r="J10" i="15"/>
  <c r="F9" i="22" s="1"/>
  <c r="J9" i="15"/>
  <c r="J8" i="15"/>
  <c r="F7" i="22" s="1"/>
  <c r="J7" i="15"/>
  <c r="F6" i="22" s="1"/>
  <c r="J6" i="15"/>
  <c r="F5" i="22" s="1"/>
  <c r="J5" i="15"/>
  <c r="F4" i="22" s="1"/>
  <c r="J4" i="15"/>
  <c r="J3" i="15"/>
  <c r="H13" i="15"/>
  <c r="E12" i="22" s="1"/>
  <c r="H12" i="15"/>
  <c r="E11" i="22" s="1"/>
  <c r="H11" i="15"/>
  <c r="E10" i="22" s="1"/>
  <c r="H10" i="15"/>
  <c r="H9" i="15"/>
  <c r="E8" i="22" s="1"/>
  <c r="H8" i="15"/>
  <c r="E7" i="22" s="1"/>
  <c r="H7" i="15"/>
  <c r="E6" i="22" s="1"/>
  <c r="H6" i="15"/>
  <c r="E5" i="22" s="1"/>
  <c r="H5" i="15"/>
  <c r="E4" i="22" s="1"/>
  <c r="H4" i="15"/>
  <c r="H3" i="15"/>
  <c r="F13" i="15"/>
  <c r="F12" i="15"/>
  <c r="D11" i="22" s="1"/>
  <c r="F11" i="15"/>
  <c r="D10" i="22" s="1"/>
  <c r="F10" i="15"/>
  <c r="D9" i="22" s="1"/>
  <c r="F9" i="15"/>
  <c r="D8" i="22" s="1"/>
  <c r="F7" i="15"/>
  <c r="D6" i="22" s="1"/>
  <c r="F6" i="15"/>
  <c r="D5" i="22" s="1"/>
  <c r="F5" i="15"/>
  <c r="F4" i="15"/>
  <c r="D3" i="22" s="1"/>
  <c r="F3" i="15"/>
  <c r="D2" i="22" s="1"/>
  <c r="D13" i="15"/>
  <c r="C12" i="22" s="1"/>
  <c r="D12" i="15"/>
  <c r="C11" i="22" s="1"/>
  <c r="D11" i="15"/>
  <c r="C10" i="22" s="1"/>
  <c r="D10" i="15"/>
  <c r="C9" i="22" s="1"/>
  <c r="D9" i="15"/>
  <c r="C8" i="22" s="1"/>
  <c r="D8" i="15"/>
  <c r="D7" i="15"/>
  <c r="C6" i="22" s="1"/>
  <c r="D6" i="15"/>
  <c r="C5" i="22" s="1"/>
  <c r="D5" i="15"/>
  <c r="D4" i="15"/>
  <c r="C3" i="22" s="1"/>
  <c r="D3" i="15"/>
  <c r="F3" i="22"/>
  <c r="F8" i="22"/>
  <c r="F11" i="22"/>
  <c r="F2" i="22"/>
  <c r="E9" i="22"/>
  <c r="E2" i="22"/>
  <c r="D4" i="22"/>
  <c r="D12" i="22"/>
  <c r="C4" i="22"/>
  <c r="C2" i="22"/>
  <c r="B2" i="22"/>
  <c r="F5" i="19"/>
  <c r="F6" i="19"/>
  <c r="F2" i="19"/>
  <c r="E4" i="19"/>
  <c r="E7" i="19"/>
  <c r="E9" i="19"/>
  <c r="E11" i="19"/>
  <c r="E12" i="19"/>
  <c r="D4" i="19"/>
  <c r="D7" i="19"/>
  <c r="D12" i="19"/>
  <c r="D2" i="19"/>
  <c r="C3" i="19"/>
  <c r="C10" i="19"/>
  <c r="C2" i="19"/>
  <c r="B5" i="19"/>
  <c r="B9" i="19"/>
  <c r="B2" i="19"/>
  <c r="F4" i="18"/>
  <c r="F10" i="18"/>
  <c r="F12" i="18"/>
  <c r="E3" i="18"/>
  <c r="E9" i="18"/>
  <c r="E12" i="18"/>
  <c r="E2" i="18"/>
  <c r="D3" i="18"/>
  <c r="D7" i="18"/>
  <c r="D10" i="18"/>
  <c r="D12" i="18"/>
  <c r="C4" i="18"/>
  <c r="C9" i="18"/>
  <c r="C10" i="18"/>
  <c r="C12" i="18"/>
  <c r="C2" i="18"/>
  <c r="B4" i="18"/>
  <c r="B6" i="18"/>
  <c r="B10" i="18"/>
  <c r="B12" i="18"/>
  <c r="D15" i="17" l="1"/>
  <c r="B14" i="15"/>
  <c r="H14" i="15"/>
  <c r="B5" i="23" s="1"/>
  <c r="B6" i="27" s="1"/>
  <c r="C5" i="18"/>
  <c r="D14" i="15"/>
  <c r="B3" i="23" s="1"/>
  <c r="B4" i="27" s="1"/>
  <c r="H14" i="16"/>
  <c r="C5" i="23" s="1"/>
  <c r="C6" i="27" s="1"/>
  <c r="F15" i="17"/>
  <c r="D4" i="23" s="1"/>
  <c r="D5" i="27" s="1"/>
  <c r="F14" i="16"/>
  <c r="C4" i="23" s="1"/>
  <c r="C5" i="27" s="1"/>
  <c r="F14" i="15"/>
  <c r="J14" i="15"/>
  <c r="J14" i="16"/>
  <c r="C6" i="23" s="1"/>
  <c r="H15" i="17"/>
  <c r="D5" i="23" s="1"/>
  <c r="D6" i="27" s="1"/>
  <c r="C7" i="22"/>
  <c r="D14" i="16"/>
  <c r="B15" i="17"/>
  <c r="D2" i="23" s="1"/>
  <c r="D3" i="27" s="1"/>
  <c r="J15" i="17"/>
  <c r="D6" i="23" s="1"/>
  <c r="B14" i="16"/>
  <c r="C2" i="23" s="1"/>
  <c r="C3" i="27" s="1"/>
  <c r="E14" i="18"/>
  <c r="D14" i="18"/>
  <c r="B14" i="18"/>
  <c r="D14" i="19"/>
  <c r="C14" i="19"/>
  <c r="F14" i="19"/>
  <c r="E14" i="19"/>
  <c r="C14" i="22"/>
  <c r="D14" i="22"/>
  <c r="F14" i="22"/>
  <c r="B3" i="22"/>
  <c r="E3" i="22"/>
  <c r="E14" i="22" s="1"/>
  <c r="B3" i="19"/>
  <c r="B14" i="19" s="1"/>
  <c r="F2" i="18"/>
  <c r="F14" i="18" s="1"/>
  <c r="C3" i="18"/>
  <c r="C14" i="18" s="1"/>
  <c r="D3" i="23"/>
  <c r="D4" i="27" s="1"/>
  <c r="B6" i="23"/>
  <c r="B7" i="26" l="1"/>
  <c r="B7" i="27"/>
  <c r="F7" i="26"/>
  <c r="C7" i="27"/>
  <c r="J7" i="26"/>
  <c r="D7" i="27"/>
  <c r="J6" i="26"/>
  <c r="J5" i="26"/>
  <c r="J4" i="26"/>
  <c r="J3" i="26"/>
  <c r="F6" i="26"/>
  <c r="F5" i="26"/>
  <c r="D16" i="19"/>
  <c r="C4" i="25" s="1"/>
  <c r="H5" i="27" s="1"/>
  <c r="F3" i="26"/>
  <c r="B6" i="26"/>
  <c r="B4" i="26"/>
  <c r="B4" i="22"/>
  <c r="C3" i="23"/>
  <c r="C4" i="27" s="1"/>
  <c r="B4" i="23"/>
  <c r="B5" i="27" s="1"/>
  <c r="G5" i="26" l="1"/>
  <c r="C4" i="24"/>
  <c r="F4" i="26"/>
  <c r="B5" i="26"/>
  <c r="B5" i="22"/>
  <c r="E16" i="18"/>
  <c r="D5" i="25" s="1"/>
  <c r="I6" i="27" s="1"/>
  <c r="D5" i="24"/>
  <c r="D16" i="18"/>
  <c r="D4" i="25" s="1"/>
  <c r="I5" i="27" s="1"/>
  <c r="D4" i="24"/>
  <c r="C16" i="18"/>
  <c r="D3" i="25" s="1"/>
  <c r="I4" i="27" s="1"/>
  <c r="D3" i="24"/>
  <c r="B16" i="18"/>
  <c r="D2" i="25" s="1"/>
  <c r="I3" i="27" s="1"/>
  <c r="D2" i="24"/>
  <c r="F16" i="19"/>
  <c r="C6" i="25" s="1"/>
  <c r="H7" i="27" s="1"/>
  <c r="C6" i="24"/>
  <c r="E16" i="19"/>
  <c r="C5" i="25" s="1"/>
  <c r="H6" i="27" s="1"/>
  <c r="C5" i="24"/>
  <c r="C16" i="19"/>
  <c r="C3" i="25" s="1"/>
  <c r="H4" i="27" s="1"/>
  <c r="C3" i="24"/>
  <c r="B16" i="19"/>
  <c r="C2" i="25" s="1"/>
  <c r="H3" i="27" s="1"/>
  <c r="C2" i="24"/>
  <c r="F16" i="22"/>
  <c r="B6" i="25" s="1"/>
  <c r="B6" i="24"/>
  <c r="E16" i="22"/>
  <c r="B5" i="25" s="1"/>
  <c r="G6" i="27" s="1"/>
  <c r="B5" i="24"/>
  <c r="D16" i="22"/>
  <c r="B4" i="25" s="1"/>
  <c r="G5" i="27" s="1"/>
  <c r="C16" i="22"/>
  <c r="B3" i="25" s="1"/>
  <c r="G4" i="27" s="1"/>
  <c r="B3" i="24"/>
  <c r="C7" i="26" l="1"/>
  <c r="G7" i="27"/>
  <c r="G7" i="26"/>
  <c r="K6" i="26"/>
  <c r="K5" i="26"/>
  <c r="K4" i="26"/>
  <c r="K3" i="26"/>
  <c r="G6" i="26"/>
  <c r="G4" i="26"/>
  <c r="G3" i="26"/>
  <c r="C6" i="26"/>
  <c r="C5" i="26"/>
  <c r="C4" i="26"/>
  <c r="B6" i="22"/>
  <c r="B4" i="24"/>
  <c r="B7" i="22" l="1"/>
  <c r="B8" i="22" l="1"/>
  <c r="B9" i="22" l="1"/>
  <c r="B10" i="22" l="1"/>
  <c r="B11" i="22" l="1"/>
  <c r="B12" i="22" l="1"/>
  <c r="B14" i="22" s="1"/>
  <c r="B2" i="23" l="1"/>
  <c r="B3" i="27" s="1"/>
  <c r="B16" i="22" l="1"/>
  <c r="B2" i="25" s="1"/>
  <c r="G3" i="27" s="1"/>
  <c r="B3" i="26"/>
  <c r="B2" i="24" l="1"/>
  <c r="C3" i="26"/>
  <c r="F16" i="18" l="1"/>
  <c r="D6" i="25" s="1"/>
  <c r="D6" i="24"/>
  <c r="K7" i="26" l="1"/>
  <c r="I7" i="27"/>
</calcChain>
</file>

<file path=xl/sharedStrings.xml><?xml version="1.0" encoding="utf-8"?>
<sst xmlns="http://schemas.openxmlformats.org/spreadsheetml/2006/main" count="679" uniqueCount="236">
  <si>
    <t>DATE/TIME</t>
  </si>
  <si>
    <t>DISTANCE (M)</t>
  </si>
  <si>
    <t>AMBIENT TEMP  (degree Celsius)</t>
  </si>
  <si>
    <t>15-08-24/ 11:10AM</t>
  </si>
  <si>
    <t>15-08-24/ 11:20AM</t>
  </si>
  <si>
    <t>15-08-24/ 11:30AM</t>
  </si>
  <si>
    <t>15-08-24/ 11:40AM</t>
  </si>
  <si>
    <t>15-08-24/ 11:50AM</t>
  </si>
  <si>
    <t>Actual Temperature = 36.8</t>
  </si>
  <si>
    <t>15-08-24/ 12:04</t>
  </si>
  <si>
    <t>15-08-24/ 11:56</t>
  </si>
  <si>
    <t>15-08-24/ 11:58</t>
  </si>
  <si>
    <t>15-08-24/ 12:00</t>
  </si>
  <si>
    <t>15-08-24/ 12:02</t>
  </si>
  <si>
    <t>Actual Temp 36.5</t>
  </si>
  <si>
    <t>15-08-24/ 13:50</t>
  </si>
  <si>
    <t>15-08-24/ 13:53</t>
  </si>
  <si>
    <t>15-08-24/ 13:54</t>
  </si>
  <si>
    <t>15-08-24/ 13:57</t>
  </si>
  <si>
    <t>15-08-24/ 14:00</t>
  </si>
  <si>
    <t>15-08-24/ 14:18</t>
  </si>
  <si>
    <t>15-08-24/ 14:20</t>
  </si>
  <si>
    <t>15-08-24/ 14.21</t>
  </si>
  <si>
    <t>15-08-24/ 14:22</t>
  </si>
  <si>
    <t>15-08-24/ 14:23</t>
  </si>
  <si>
    <t>15-08-24/ 14:08</t>
  </si>
  <si>
    <t>15-08-24/ 14:12</t>
  </si>
  <si>
    <t>15-08-24/ 14.14</t>
  </si>
  <si>
    <t>15-08-24/ 14:16</t>
  </si>
  <si>
    <t>15-08-24/ 14:17</t>
  </si>
  <si>
    <t>15-08-24/ 14:45</t>
  </si>
  <si>
    <t>15-08-24/ 14:47</t>
  </si>
  <si>
    <t>15-08-24/ 14.49</t>
  </si>
  <si>
    <t>15-08-24/ 14:50</t>
  </si>
  <si>
    <t>15-08-24/ 14:52</t>
  </si>
  <si>
    <t>Light skin with Glasses on , under artificial home illumination</t>
  </si>
  <si>
    <t>15-08-24/ 14:33</t>
  </si>
  <si>
    <t>15-08-24/ 14:34</t>
  </si>
  <si>
    <t>15-08-24/ 14:36</t>
  </si>
  <si>
    <t>15-08-24/ 14:38</t>
  </si>
  <si>
    <t>15-08-24/ 14:41</t>
  </si>
  <si>
    <t>Light skin without  Glasses on , under artificial home illumination</t>
  </si>
  <si>
    <t>15-08-24/ 16:08</t>
  </si>
  <si>
    <t>15-08-24/ 16:10</t>
  </si>
  <si>
    <t>15-08-24/ 16:12</t>
  </si>
  <si>
    <t>15-08-24/ 16:13</t>
  </si>
  <si>
    <t>15-08-24/ 16:14</t>
  </si>
  <si>
    <t>Light skin, low temp, natural home illumination</t>
  </si>
  <si>
    <t>15-08-24/ 16:20</t>
  </si>
  <si>
    <t>15-08-24/ 16:21</t>
  </si>
  <si>
    <t>15-08-24/ 16:22</t>
  </si>
  <si>
    <t>15-08-24/ 16:23</t>
  </si>
  <si>
    <t>15-08-24/ 16:24</t>
  </si>
  <si>
    <t>Actual Temp 36.80</t>
  </si>
  <si>
    <t>Dark skin, low temp, natural home illumination</t>
  </si>
  <si>
    <t>15-08-24/ 16:43</t>
  </si>
  <si>
    <t>15-08-24/ 16:44</t>
  </si>
  <si>
    <t>15-08-24/ 16:45</t>
  </si>
  <si>
    <t>15-08-24/ 16:47</t>
  </si>
  <si>
    <t>15-08-24/ 16:49</t>
  </si>
  <si>
    <t>Actual Temp 36.9</t>
  </si>
  <si>
    <t>dark skin, low temp, artificial home illumination</t>
  </si>
  <si>
    <t>15-08-24/ 16:53</t>
  </si>
  <si>
    <t>15-08-24/ 16:54</t>
  </si>
  <si>
    <t>15-08-24/ 16:55</t>
  </si>
  <si>
    <t>15-08-24/ 16:56</t>
  </si>
  <si>
    <t>15-08-24/ 16:57</t>
  </si>
  <si>
    <t>light skin, low temp, artificial home illumination</t>
  </si>
  <si>
    <t>Pimoroni MLX90640  (degree Celsius)</t>
  </si>
  <si>
    <t>RobotShop MLX90640 (degree Celsius)</t>
  </si>
  <si>
    <t>RS PRO T-10  (degree Celsius)</t>
  </si>
  <si>
    <t xml:space="preserve">Actual Temp </t>
  </si>
  <si>
    <t>Temp reading interval of 10mins</t>
  </si>
  <si>
    <t>Temp reading interval of 2mins</t>
  </si>
  <si>
    <t>Temp reading radomly picked</t>
  </si>
  <si>
    <t>Light skin emissivity without  Glasses on, under artificial home illumination</t>
  </si>
  <si>
    <t>Dark skin emmisivity, low temp, natural home illumination</t>
  </si>
  <si>
    <t>Temp Readings at 2 Metres</t>
  </si>
  <si>
    <t>Temp Readings at 1 Metre</t>
  </si>
  <si>
    <t>Temp Readings at 3 Metres</t>
  </si>
  <si>
    <t>Temp Readings at 4 Metres</t>
  </si>
  <si>
    <t>Temp Readings at 5 Metres</t>
  </si>
  <si>
    <t>Dark skin emissivity, low temp, artificial home illumination</t>
  </si>
  <si>
    <t>Dack skin with Glasses on , under artificial home illumination</t>
  </si>
  <si>
    <t>Dack skin without Glasses on , under artificial home illumination</t>
  </si>
  <si>
    <t>Category of Temp reading from Pimoroni MLX90640  (degree Celsius)</t>
  </si>
  <si>
    <t>Light skin emissivity, low temp, artificial home illumination</t>
  </si>
  <si>
    <t>Category of Temp reading from RS PRO T-10 (Degree Celsius)</t>
  </si>
  <si>
    <t>Mean Temp reading  for each distance (Metre)</t>
  </si>
  <si>
    <t>Variance</t>
  </si>
  <si>
    <t>Standard Deviation (SD)</t>
  </si>
  <si>
    <t>Category of Temp reading from Robotshop MLX90640 (Degree Celsius)</t>
  </si>
  <si>
    <t>Distance</t>
  </si>
  <si>
    <t>Pimoroni MLX90640</t>
  </si>
  <si>
    <t>1 Metre</t>
  </si>
  <si>
    <t>2 Metres</t>
  </si>
  <si>
    <t>3 Metres</t>
  </si>
  <si>
    <t>4 Metres</t>
  </si>
  <si>
    <t>5 Metres</t>
  </si>
  <si>
    <t xml:space="preserve"> RS PRO T-10</t>
  </si>
  <si>
    <t>Robotshop MLX90640</t>
  </si>
  <si>
    <t>Variance at each Distance</t>
  </si>
  <si>
    <t>SD at each Distance</t>
  </si>
  <si>
    <t>Actual Temp 36.8</t>
  </si>
  <si>
    <t xml:space="preserve">Variance </t>
  </si>
  <si>
    <t>Pimoroni MLX906402</t>
  </si>
  <si>
    <t xml:space="preserve"> RS PRO T-102</t>
  </si>
  <si>
    <t>Robotshop MLX906402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</si>
  <si>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</si>
  <si>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</si>
  <si>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</si>
  <si>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</si>
  <si>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</si>
  <si>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</si>
  <si>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</si>
  <si>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</si>
  <si>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</si>
  <si>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</si>
  <si>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Average Value</t>
  </si>
  <si>
    <t>Standard Deviation</t>
  </si>
  <si>
    <t>Dack emissivity skin without Glasses on , under artificial home illumination</t>
  </si>
  <si>
    <t>Dack skin emissivity with Glasses on , under artificial home illumination</t>
  </si>
  <si>
    <t>Light skin emissivity with Glasses on , under artificial home illumination</t>
  </si>
  <si>
    <t>Light skin emissivity, low temp, natural home illumination</t>
  </si>
  <si>
    <t>Dark skin emissivity, low temp, natural home illumination</t>
  </si>
  <si>
    <t>Actual Temp 35.6</t>
  </si>
  <si>
    <t>Actual Temp  (degree Celsius)</t>
  </si>
  <si>
    <t>09-09-24/12:00</t>
  </si>
  <si>
    <t>09-09-24/12:01</t>
  </si>
  <si>
    <t>09-09-24/12:02</t>
  </si>
  <si>
    <t>09-09-24/12:03</t>
  </si>
  <si>
    <t>09-09-24/12:04</t>
  </si>
  <si>
    <t>Natutal_illumination_light skin</t>
  </si>
  <si>
    <t>09-09-24/12:15</t>
  </si>
  <si>
    <t>09-09-24/12:16</t>
  </si>
  <si>
    <t>09-09-24/12:17</t>
  </si>
  <si>
    <t>09-09-24/12:18</t>
  </si>
  <si>
    <t>09-09-24/12:19</t>
  </si>
  <si>
    <t>Naural Illumination dark skin with eye glasses on</t>
  </si>
  <si>
    <t>Natural Illumination dark skin without Glasses</t>
  </si>
  <si>
    <t>09-09-24/12:28</t>
  </si>
  <si>
    <t>09-09-24/12:29</t>
  </si>
  <si>
    <t>09-09-24/12:30</t>
  </si>
  <si>
    <t>09-09-24/12:31</t>
  </si>
  <si>
    <t>09-09-24/12:32</t>
  </si>
  <si>
    <t xml:space="preserve">Artificial Illumination Light skin </t>
  </si>
  <si>
    <t>09-09-24/13:35</t>
  </si>
  <si>
    <t>09-09-24/13:37</t>
  </si>
  <si>
    <t>09-09-24/13:39</t>
  </si>
  <si>
    <t>09-09-24/13:41</t>
  </si>
  <si>
    <t>09-09-24/13:43</t>
  </si>
  <si>
    <t xml:space="preserve">Artificial illumination Dark skin with eye glass </t>
  </si>
  <si>
    <t>09-09-24/12:35</t>
  </si>
  <si>
    <t>09-09-24/12:37</t>
  </si>
  <si>
    <t>09-09-24/12:39</t>
  </si>
  <si>
    <t>09-09-24/12:41</t>
  </si>
  <si>
    <t>09-09-24/12:43</t>
  </si>
  <si>
    <t xml:space="preserve">Artificial illumination Dark skin without eye glass </t>
  </si>
  <si>
    <t>09-09-24/13:55</t>
  </si>
  <si>
    <t>09-09-24/13:56</t>
  </si>
  <si>
    <t>09-09-24/13:57</t>
  </si>
  <si>
    <t>09-09-24/13:58</t>
  </si>
  <si>
    <t>09-09-24/13:59</t>
  </si>
  <si>
    <t>Natutal Illumination  light skin  with Glasses</t>
  </si>
  <si>
    <t>Natutal illumination light skin without glasses</t>
  </si>
  <si>
    <t>09-09-24/14:00</t>
  </si>
  <si>
    <t>09-09-24/14:02</t>
  </si>
  <si>
    <t>09-09-24/14:04</t>
  </si>
  <si>
    <t>09-09-24/14:06</t>
  </si>
  <si>
    <t>09-09-24/14:08</t>
  </si>
  <si>
    <t>Artificail illumination light skin with glasses</t>
  </si>
  <si>
    <t xml:space="preserve">Artificial Illumination light skin without glasses </t>
  </si>
  <si>
    <t>Light skin emissivity under natural Illumination</t>
  </si>
  <si>
    <t>Dark skin emissivity under natural Illumination with eye glasses on</t>
  </si>
  <si>
    <t>Dark skin emissivity under natural Illumination without eye glasses on</t>
  </si>
  <si>
    <t>Light skin emissivity under artificial Illumination</t>
  </si>
  <si>
    <t>Dark skin emissivity under artificial Illumination with eyeglasses on</t>
  </si>
  <si>
    <t>Dark skin emissivity under artificial l Illumination without eyeglasses on</t>
  </si>
  <si>
    <t>Light skin emissivity under natural Illumination with eyeglasses on</t>
  </si>
  <si>
    <t>Light skin emissivity under natural Illumination without eye glasses on</t>
  </si>
  <si>
    <t>Light skin emissivity under artificial Illumination with eyeglasses on</t>
  </si>
  <si>
    <t>Light skin emissivity under artificial l Illumination without eyeglasses on</t>
  </si>
  <si>
    <t>Average Values</t>
  </si>
  <si>
    <t>S.D Values</t>
  </si>
  <si>
    <t>Average</t>
  </si>
  <si>
    <t>average</t>
  </si>
  <si>
    <t>Avarage</t>
  </si>
  <si>
    <t>Natural illumination, light skin ambient temp at 16 degrees celsius</t>
  </si>
  <si>
    <t>Temperature reading from light skin under artificial home illumination and low ambient temperature at 20 degree celsius</t>
  </si>
  <si>
    <t>Temperature reading from light skin under natural home illumination and low ambient temperature at 20 degree celsius</t>
  </si>
  <si>
    <t>Temperature reading from light skin without glasses on at random time interval under artificial home illumination, ambient temp at 26 degree celsius</t>
  </si>
  <si>
    <t>Temperature reading from light skin with glasses on at random time intervals under artificial home illumination,  ambient temp at 26 degree celsius</t>
  </si>
  <si>
    <t>Artificial Illumination,Light skin , ambient temp at 16 degree celsius</t>
  </si>
  <si>
    <t>Natutal Illumination  light skin  with Glasses, ambient temp at 16 degree celsius</t>
  </si>
  <si>
    <t>Natural illumination light skin without glasses, ambient temp at 16 degrees celsius</t>
  </si>
  <si>
    <t>Artificial illumination light skin with glasses, ambient temp at 16 degrees Celsius</t>
  </si>
  <si>
    <t>Artificial Illumination light skin without glasses, ambient temp at 16 degrees Celsius</t>
  </si>
  <si>
    <t>Temperature reading from dark skin without glasses on at random time interval under artificial home illumination</t>
  </si>
  <si>
    <t>Temperature reading from dark skin with glasses on at random time interval under artificial home illumination</t>
  </si>
  <si>
    <t>Temperature reading from dark skin without glasses on at random time interval under artificial home illumination, ambient temp 26 degree celsius</t>
  </si>
  <si>
    <t>Temperature reading from dark skin with glasses on at random time intervals under artificial home illumination, ambient temp 26 Celsius</t>
  </si>
  <si>
    <t>Temperature reading from Dark skin under natural home illumination and  ambient temperature at 20 degrees celsius</t>
  </si>
  <si>
    <t>Temperature reading from Dark skin under natural home illumination and ambient temperature at 20 degrees celsius</t>
  </si>
  <si>
    <t>Temperature reading from Dark skin under natural home illumination and ambient temperature at 20 degrees celsisus</t>
  </si>
  <si>
    <t>Temperature reading from Dark skin under artificial home illumination and ambient temperature at 20 degrees celsisus</t>
  </si>
  <si>
    <t>Temperature reading from Dark skin under artificial home illumination and ambient temperature at 20 degrees celcius</t>
  </si>
  <si>
    <t>Temperature reading from Dark skin under artificial home illumination and ambient temperature at 20 degree celsius</t>
  </si>
  <si>
    <t>Naural Illumination, dark skin, with glasses on , ambient temp at 16 degree celsius</t>
  </si>
  <si>
    <t>Natural Illumination, dark skin, without Glasses, ambient temp at 16 degrees celsius</t>
  </si>
  <si>
    <t>Artificial illumination Dark skin with glass  , ambient temp at 16 degrees celsius</t>
  </si>
  <si>
    <t>Artificial illumination Dark skin without glass, ambient temp at 16 degrees Celsius</t>
  </si>
  <si>
    <t xml:space="preserve">Average </t>
  </si>
  <si>
    <t>Pimoroni MLX90640 reading taken all cases</t>
  </si>
  <si>
    <t>RS PRO T-10  reading taken all cases</t>
  </si>
  <si>
    <t>RobotShop MLX90640 reading taken all cases</t>
  </si>
  <si>
    <t>co</t>
  </si>
  <si>
    <t>SD</t>
  </si>
  <si>
    <t>Average Values  for MLX-P at different ambient temp</t>
  </si>
  <si>
    <t>Readings at 26 degrees</t>
  </si>
  <si>
    <t>Readings at 20 Degrees</t>
  </si>
  <si>
    <t>Readings  at 16 degrees</t>
  </si>
  <si>
    <t>S.D Values  for MLX-P at different ambient temp</t>
  </si>
  <si>
    <t>Average Values  for RS PRO T-10 at different ambient temp</t>
  </si>
  <si>
    <t>S.D Values  for RS PRO T-10 at different ambient temp</t>
  </si>
  <si>
    <t>Average Values  for MLX-R-10 at different ambient temp</t>
  </si>
  <si>
    <t>S.D Values  for MLX-R at different ambient temp</t>
  </si>
  <si>
    <t>MLX-P Readings at 26 degrees</t>
  </si>
  <si>
    <t>MLX-P Readings at 20 Degrees</t>
  </si>
  <si>
    <t>MLX-P Readings  at 16 degrees</t>
  </si>
  <si>
    <t>RS PRO T-10 Readings at 26 degrees</t>
  </si>
  <si>
    <t>RS PRO T-10 Readings at 20 Degrees</t>
  </si>
  <si>
    <t>RS PRO T-10 Readings  at 16 degrees</t>
  </si>
  <si>
    <t xml:space="preserve"> MLX-R-10 Readings at 26 degrees</t>
  </si>
  <si>
    <t xml:space="preserve"> MLX-R-10 Readings at 20 Degrees</t>
  </si>
  <si>
    <t xml:space="preserve"> MLX-R-10 Readings  at 16 degrees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</si>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</sst>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595959"/>
      <name val="Aptos Narrow"/>
      <family val="2"/>
      <scheme val="minor"/>
    </font>
    <font>
      <sz val="11"/>
      <color rgb="FF242424"/>
      <name val="Segoe UI"/>
      <family val="2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10"/>
      <color rgb="FF59595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readingOrder="1"/>
    </xf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5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7" fillId="0" borderId="0" xfId="0" applyFont="1" applyAlignment="1">
      <alignment vertical="center" readingOrder="1"/>
    </xf>
    <xf numFmtId="0" fontId="7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95959"/>
        <name val="Aptos Narrow"/>
        <family val="2"/>
        <scheme val="minor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95959"/>
        <name val="Aptos Narrow"/>
        <family val="2"/>
        <scheme val="minor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95959"/>
        <name val="Aptos Narrow"/>
        <family val="2"/>
        <scheme val="minor"/>
      </font>
      <alignment horizontal="left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Reading taking within interval of 10 mins under natural home illumination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Exp1_Tempreintervalof10mins_1!$B$2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BD-4DDF-BE03-4E57086A5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Exp1_Tempreintervalof10mins_1!$B$3:$B$7</c:f>
              <c:numCache>
                <c:formatCode>General</c:formatCode>
                <c:ptCount val="5"/>
                <c:pt idx="0">
                  <c:v>34.4</c:v>
                </c:pt>
                <c:pt idx="1">
                  <c:v>32.200000000000003</c:v>
                </c:pt>
                <c:pt idx="2">
                  <c:v>31.5</c:v>
                </c:pt>
                <c:pt idx="3">
                  <c:v>30.5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D-4DDF-BE03-4E57086A53A2}"/>
            </c:ext>
          </c:extLst>
        </c:ser>
        <c:ser>
          <c:idx val="1"/>
          <c:order val="1"/>
          <c:tx>
            <c:strRef>
              <c:f>Exp1_Tempreintervalof10mins_1!$C$2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Exp1_Tempreintervalof10mins_1!$C$3:$C$7</c:f>
              <c:numCache>
                <c:formatCode>General</c:formatCode>
                <c:ptCount val="5"/>
                <c:pt idx="0">
                  <c:v>32</c:v>
                </c:pt>
                <c:pt idx="1">
                  <c:v>29</c:v>
                </c:pt>
                <c:pt idx="2">
                  <c:v>21.5</c:v>
                </c:pt>
                <c:pt idx="3">
                  <c:v>21.3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D-4DDF-BE03-4E57086A53A2}"/>
            </c:ext>
          </c:extLst>
        </c:ser>
        <c:ser>
          <c:idx val="2"/>
          <c:order val="2"/>
          <c:tx>
            <c:strRef>
              <c:f>Exp1_Tempreintervalof10mins_1!$D$2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BD-4DDF-BE03-4E57086A5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Exp1_Tempreintervalof10mins_1!$D$3:$D$7</c:f>
              <c:numCache>
                <c:formatCode>General</c:formatCode>
                <c:ptCount val="5"/>
                <c:pt idx="0">
                  <c:v>34.4</c:v>
                </c:pt>
                <c:pt idx="1">
                  <c:v>32.200000000000003</c:v>
                </c:pt>
                <c:pt idx="2">
                  <c:v>31</c:v>
                </c:pt>
                <c:pt idx="3">
                  <c:v>30</c:v>
                </c:pt>
                <c:pt idx="4">
                  <c:v>30.9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D-4DDF-BE03-4E57086A53A2}"/>
            </c:ext>
          </c:extLst>
        </c:ser>
        <c:ser>
          <c:idx val="3"/>
          <c:order val="3"/>
          <c:tx>
            <c:strRef>
              <c:f>Exp1_Tempreintervalof10mins_1!$E$2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Exp1_Tempreintervalof10mins_1!$E$3:$E$7</c:f>
              <c:numCache>
                <c:formatCode>General</c:formatCode>
                <c:ptCount val="5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6-4B38-91C0-5BAECCCC2FB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600648"/>
        <c:axId val="551601008"/>
      </c:lineChart>
      <c:catAx>
        <c:axId val="551600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01008"/>
        <c:crosses val="autoZero"/>
        <c:auto val="1"/>
        <c:lblAlgn val="ctr"/>
        <c:lblOffset val="100"/>
        <c:noMultiLvlLbl val="0"/>
      </c:catAx>
      <c:valAx>
        <c:axId val="55160100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0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34393147955858"/>
          <c:y val="0.95044017030077821"/>
          <c:w val="0.74465615817082154"/>
          <c:h val="3.8793374966060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reading at interval of 2 minutes under natural home illumination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Exp1_Tempreadintervalof2min_2!$B$2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Exp1_Tempreadintervalof2min_2!$F$3:$F$7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Exp1_Tempreadintervalof2min_2!$B$3:$B$7</c:f>
              <c:numCache>
                <c:formatCode>General</c:formatCode>
                <c:ptCount val="5"/>
                <c:pt idx="0">
                  <c:v>31.5</c:v>
                </c:pt>
                <c:pt idx="1">
                  <c:v>31.5</c:v>
                </c:pt>
                <c:pt idx="2">
                  <c:v>32.5</c:v>
                </c:pt>
                <c:pt idx="3">
                  <c:v>32.9</c:v>
                </c:pt>
                <c:pt idx="4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C-4B1D-8DA7-66AE16788966}"/>
            </c:ext>
          </c:extLst>
        </c:ser>
        <c:ser>
          <c:idx val="1"/>
          <c:order val="1"/>
          <c:tx>
            <c:strRef>
              <c:f>Exp1_Tempreadintervalof2min_2!$C$2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Exp1_Tempreadintervalof2min_2!$F$3:$F$7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Exp1_Tempreadintervalof2min_2!$C$3:$C$7</c:f>
              <c:numCache>
                <c:formatCode>General</c:formatCode>
                <c:ptCount val="5"/>
                <c:pt idx="0">
                  <c:v>28</c:v>
                </c:pt>
                <c:pt idx="1">
                  <c:v>29.2</c:v>
                </c:pt>
                <c:pt idx="2">
                  <c:v>29.5</c:v>
                </c:pt>
                <c:pt idx="3">
                  <c:v>31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C-4B1D-8DA7-66AE16788966}"/>
            </c:ext>
          </c:extLst>
        </c:ser>
        <c:ser>
          <c:idx val="2"/>
          <c:order val="2"/>
          <c:tx>
            <c:strRef>
              <c:f>Exp1_Tempreadintervalof2min_2!$D$2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Exp1_Tempreadintervalof2min_2!$F$3:$F$7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Exp1_Tempreadintervalof2min_2!$D$3:$D$7</c:f>
              <c:numCache>
                <c:formatCode>General</c:formatCode>
                <c:ptCount val="5"/>
                <c:pt idx="0">
                  <c:v>31</c:v>
                </c:pt>
                <c:pt idx="1">
                  <c:v>31</c:v>
                </c:pt>
                <c:pt idx="2">
                  <c:v>32</c:v>
                </c:pt>
                <c:pt idx="3">
                  <c:v>32.9</c:v>
                </c:pt>
                <c:pt idx="4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1C-4B1D-8DA7-66AE16788966}"/>
            </c:ext>
          </c:extLst>
        </c:ser>
        <c:ser>
          <c:idx val="3"/>
          <c:order val="3"/>
          <c:tx>
            <c:strRef>
              <c:f>Exp1_Tempreadintervalof2min_2!$E$2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Exp1_Tempreadintervalof2min_2!$F$3:$F$7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Exp1_Tempreadintervalof2min_2!$E$3:$E$7</c:f>
              <c:numCache>
                <c:formatCode>General</c:formatCode>
                <c:ptCount val="5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1-48F8-B83F-9C3B1F646384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1157040"/>
        <c:axId val="761155960"/>
      </c:lineChart>
      <c:catAx>
        <c:axId val="76115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55960"/>
        <c:crosses val="autoZero"/>
        <c:auto val="1"/>
        <c:lblAlgn val="ctr"/>
        <c:lblOffset val="100"/>
        <c:tickLblSkip val="1"/>
        <c:noMultiLvlLbl val="0"/>
      </c:catAx>
      <c:valAx>
        <c:axId val="761155960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reading picked at ramdom time, under artificial home illumination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Exp1_Tempreadingradomlypicked_3!$B$1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Exp1_Tempreadingradomlypicked_3!$B$2:$B$6</c:f>
              <c:numCache>
                <c:formatCode>General</c:formatCode>
                <c:ptCount val="5"/>
                <c:pt idx="0">
                  <c:v>33.5</c:v>
                </c:pt>
                <c:pt idx="1">
                  <c:v>31.5</c:v>
                </c:pt>
                <c:pt idx="2">
                  <c:v>29.2</c:v>
                </c:pt>
                <c:pt idx="3">
                  <c:v>29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A-44A3-B17F-0ABC91CA2C57}"/>
            </c:ext>
          </c:extLst>
        </c:ser>
        <c:ser>
          <c:idx val="1"/>
          <c:order val="1"/>
          <c:tx>
            <c:strRef>
              <c:f>Exp1_Tempreadingradomlypicked_3!$C$1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Exp1_Tempreadingradomlypicked_3!$C$2:$C$6</c:f>
              <c:numCache>
                <c:formatCode>General</c:formatCode>
                <c:ptCount val="5"/>
                <c:pt idx="0">
                  <c:v>31</c:v>
                </c:pt>
                <c:pt idx="1">
                  <c:v>29</c:v>
                </c:pt>
                <c:pt idx="2">
                  <c:v>26.5</c:v>
                </c:pt>
                <c:pt idx="3">
                  <c:v>22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A-44A3-B17F-0ABC91CA2C57}"/>
            </c:ext>
          </c:extLst>
        </c:ser>
        <c:ser>
          <c:idx val="2"/>
          <c:order val="2"/>
          <c:tx>
            <c:strRef>
              <c:f>Exp1_Tempreadingradomlypicked_3!$D$1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0A-44A3-B17F-0ABC91CA2C57}"/>
                </c:ext>
              </c:extLst>
            </c:dLbl>
            <c:dLbl>
              <c:idx val="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0A-44A3-B17F-0ABC91CA2C57}"/>
                </c:ext>
              </c:extLst>
            </c:dLbl>
            <c:dLbl>
              <c:idx val="2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0A-44A3-B17F-0ABC91CA2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Exp1_Tempreadingradomlypicked_3!$D$2:$D$6</c:f>
              <c:numCache>
                <c:formatCode>General</c:formatCode>
                <c:ptCount val="5"/>
                <c:pt idx="0">
                  <c:v>33.5</c:v>
                </c:pt>
                <c:pt idx="1">
                  <c:v>31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A-44A3-B17F-0ABC91CA2C57}"/>
            </c:ext>
          </c:extLst>
        </c:ser>
        <c:ser>
          <c:idx val="3"/>
          <c:order val="3"/>
          <c:tx>
            <c:strRef>
              <c:f>Exp1_Tempreadingradomlypicked_3!$E$1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Exp1_Tempreadingradomlypicked_3!$E$2:$E$6</c:f>
              <c:numCache>
                <c:formatCode>General</c:formatCode>
                <c:ptCount val="5"/>
                <c:pt idx="0">
                  <c:v>36.700000000000003</c:v>
                </c:pt>
                <c:pt idx="1">
                  <c:v>36.700000000000003</c:v>
                </c:pt>
                <c:pt idx="2">
                  <c:v>36.700000000000003</c:v>
                </c:pt>
                <c:pt idx="3">
                  <c:v>36.700000000000003</c:v>
                </c:pt>
                <c:pt idx="4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9-4346-80BC-12EA4690B8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1127520"/>
        <c:axId val="761127880"/>
      </c:lineChart>
      <c:catAx>
        <c:axId val="7611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27880"/>
        <c:crosses val="autoZero"/>
        <c:auto val="1"/>
        <c:lblAlgn val="ctr"/>
        <c:lblOffset val="100"/>
        <c:noMultiLvlLbl val="0"/>
      </c:catAx>
      <c:valAx>
        <c:axId val="76112788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celsisus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reading from dark skin without glasses on at random time interval under artificial home illumination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Exp1_bodydarkskinemissivity1_4!$B$1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Exp1_bodydarkskinemissivity1_4!$B$2:$B$6</c:f>
              <c:numCache>
                <c:formatCode>General</c:formatCode>
                <c:ptCount val="5"/>
                <c:pt idx="0">
                  <c:v>34.75</c:v>
                </c:pt>
                <c:pt idx="1">
                  <c:v>32.25</c:v>
                </c:pt>
                <c:pt idx="2">
                  <c:v>30.75</c:v>
                </c:pt>
                <c:pt idx="3">
                  <c:v>30.25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7-4B9A-BBC0-52D5F6D6F816}"/>
            </c:ext>
          </c:extLst>
        </c:ser>
        <c:ser>
          <c:idx val="1"/>
          <c:order val="1"/>
          <c:tx>
            <c:strRef>
              <c:f>Exp1_bodydarkskinemissivity1_4!$C$1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Exp1_bodydarkskinemissivity1_4!$C$2:$C$6</c:f>
              <c:numCache>
                <c:formatCode>General</c:formatCode>
                <c:ptCount val="5"/>
                <c:pt idx="0">
                  <c:v>30.1</c:v>
                </c:pt>
                <c:pt idx="1">
                  <c:v>28.4</c:v>
                </c:pt>
                <c:pt idx="2">
                  <c:v>28.7</c:v>
                </c:pt>
                <c:pt idx="3">
                  <c:v>25.3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7-4B9A-BBC0-52D5F6D6F816}"/>
            </c:ext>
          </c:extLst>
        </c:ser>
        <c:ser>
          <c:idx val="2"/>
          <c:order val="2"/>
          <c:tx>
            <c:strRef>
              <c:f>Exp1_bodydarkskinemissivity1_4!$D$1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Exp1_bodydarkskinemissivity1_4!$D$2:$D$6</c:f>
              <c:numCache>
                <c:formatCode>General</c:formatCode>
                <c:ptCount val="5"/>
                <c:pt idx="0">
                  <c:v>33.5</c:v>
                </c:pt>
                <c:pt idx="1">
                  <c:v>31.75</c:v>
                </c:pt>
                <c:pt idx="2">
                  <c:v>30.25</c:v>
                </c:pt>
                <c:pt idx="3">
                  <c:v>29.25</c:v>
                </c:pt>
                <c:pt idx="4">
                  <c:v>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7-4B9A-BBC0-52D5F6D6F816}"/>
            </c:ext>
          </c:extLst>
        </c:ser>
        <c:ser>
          <c:idx val="3"/>
          <c:order val="3"/>
          <c:tx>
            <c:strRef>
              <c:f>Exp1_bodydarkskinemissivity1_4!$E$1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Exp1_bodydarkskinemissivity1_4!$E$2:$E$6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4-4F7A-9C5E-EA02AA9BE050}"/>
            </c:ext>
          </c:extLst>
        </c:ser>
        <c:ser>
          <c:idx val="4"/>
          <c:order val="4"/>
          <c:tx>
            <c:strRef>
              <c:f>Exp1_bodydarkskinemissivity1_4!$E$1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Exp1_bodydarkskinemissivity1_4!$E$2:$E$6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4-4F7A-9C5E-EA02AA9BE0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532688"/>
        <c:axId val="687537008"/>
      </c:lineChart>
      <c:catAx>
        <c:axId val="6875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37008"/>
        <c:crosses val="autoZero"/>
        <c:auto val="1"/>
        <c:lblAlgn val="ctr"/>
        <c:lblOffset val="100"/>
        <c:noMultiLvlLbl val="0"/>
      </c:catAx>
      <c:valAx>
        <c:axId val="687537008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3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dark skin with glasses on at random time interval under artificial home illumination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Exp1_Bodydarkskinemissivity_5!$B$1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Exp1_Bodydarkskinemissivity_5!$B$2:$B$6</c:f>
              <c:numCache>
                <c:formatCode>General</c:formatCode>
                <c:ptCount val="5"/>
                <c:pt idx="0">
                  <c:v>34.5</c:v>
                </c:pt>
                <c:pt idx="1">
                  <c:v>31.75</c:v>
                </c:pt>
                <c:pt idx="2">
                  <c:v>30.5</c:v>
                </c:pt>
                <c:pt idx="3">
                  <c:v>30.25</c:v>
                </c:pt>
                <c:pt idx="4">
                  <c:v>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4-452D-ACBD-BF8118E59A81}"/>
            </c:ext>
          </c:extLst>
        </c:ser>
        <c:ser>
          <c:idx val="1"/>
          <c:order val="1"/>
          <c:tx>
            <c:strRef>
              <c:f>Exp1_Bodydarkskinemissivity_5!$C$1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Exp1_Bodydarkskinemissivity_5!$C$2:$C$6</c:f>
              <c:numCache>
                <c:formatCode>General</c:formatCode>
                <c:ptCount val="5"/>
                <c:pt idx="0">
                  <c:v>30.4</c:v>
                </c:pt>
                <c:pt idx="1">
                  <c:v>29.9</c:v>
                </c:pt>
                <c:pt idx="2">
                  <c:v>28.7</c:v>
                </c:pt>
                <c:pt idx="3">
                  <c:v>27.7</c:v>
                </c:pt>
                <c:pt idx="4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4-452D-ACBD-BF8118E59A81}"/>
            </c:ext>
          </c:extLst>
        </c:ser>
        <c:ser>
          <c:idx val="2"/>
          <c:order val="2"/>
          <c:tx>
            <c:strRef>
              <c:f>Exp1_Bodydarkskinemissivity_5!$D$1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Exp1_Bodydarkskinemissivity_5!$D$2:$D$6</c:f>
              <c:numCache>
                <c:formatCode>General</c:formatCode>
                <c:ptCount val="5"/>
                <c:pt idx="0">
                  <c:v>33.25</c:v>
                </c:pt>
                <c:pt idx="1">
                  <c:v>31</c:v>
                </c:pt>
                <c:pt idx="2">
                  <c:v>30.25</c:v>
                </c:pt>
                <c:pt idx="3">
                  <c:v>29.75</c:v>
                </c:pt>
                <c:pt idx="4">
                  <c:v>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D4-452D-ACBD-BF8118E59A81}"/>
            </c:ext>
          </c:extLst>
        </c:ser>
        <c:ser>
          <c:idx val="3"/>
          <c:order val="3"/>
          <c:tx>
            <c:strRef>
              <c:f>Exp1_Bodydarkskinemissivity_5!$E$1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Exp1_Bodydarkskinemissivity_5!$E$2:$E$6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5-438A-A7B7-0CB98B86F7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350360"/>
        <c:axId val="597351080"/>
      </c:lineChart>
      <c:catAx>
        <c:axId val="597350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51080"/>
        <c:crosses val="autoZero"/>
        <c:auto val="1"/>
        <c:lblAlgn val="ctr"/>
        <c:lblOffset val="100"/>
        <c:noMultiLvlLbl val="0"/>
      </c:catAx>
      <c:valAx>
        <c:axId val="597351080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5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light skin with glasses on at random time interval under artificial home illumination</a:t>
            </a:r>
          </a:p>
        </c:rich>
      </c:tx>
      <c:layout>
        <c:manualLayout>
          <c:xMode val="edge"/>
          <c:yMode val="edge"/>
          <c:x val="8.7423567074525255E-2"/>
          <c:y val="1.6674103429332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8025006651768E-2"/>
          <c:y val="0.14573166397236412"/>
          <c:w val="0.91103055220401885"/>
          <c:h val="0.71478483538030357"/>
        </c:manualLayout>
      </c:layout>
      <c:lineChart>
        <c:grouping val="standard"/>
        <c:varyColors val="0"/>
        <c:ser>
          <c:idx val="0"/>
          <c:order val="0"/>
          <c:tx>
            <c:strRef>
              <c:f>Exp1_bodylightskinemmisivity_6!$B$1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Exp1_bodylightskinemmisivity_6!$B$2:$B$6</c:f>
              <c:numCache>
                <c:formatCode>General</c:formatCode>
                <c:ptCount val="5"/>
                <c:pt idx="0">
                  <c:v>33.75</c:v>
                </c:pt>
                <c:pt idx="1">
                  <c:v>31.5</c:v>
                </c:pt>
                <c:pt idx="2">
                  <c:v>30.2</c:v>
                </c:pt>
                <c:pt idx="3">
                  <c:v>29.5</c:v>
                </c:pt>
                <c:pt idx="4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0-4365-ABAD-C2922F6628A4}"/>
            </c:ext>
          </c:extLst>
        </c:ser>
        <c:ser>
          <c:idx val="1"/>
          <c:order val="1"/>
          <c:tx>
            <c:strRef>
              <c:f>Exp1_bodylightskinemmisivity_6!$C$1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Exp1_bodylightskinemmisivity_6!$C$2:$C$6</c:f>
              <c:numCache>
                <c:formatCode>General</c:formatCode>
                <c:ptCount val="5"/>
                <c:pt idx="0">
                  <c:v>30.3</c:v>
                </c:pt>
                <c:pt idx="1">
                  <c:v>29.3</c:v>
                </c:pt>
                <c:pt idx="2">
                  <c:v>28.8</c:v>
                </c:pt>
                <c:pt idx="3">
                  <c:v>28.3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0-4365-ABAD-C2922F6628A4}"/>
            </c:ext>
          </c:extLst>
        </c:ser>
        <c:ser>
          <c:idx val="2"/>
          <c:order val="2"/>
          <c:tx>
            <c:strRef>
              <c:f>Exp1_bodylightskinemmisivity_6!$D$1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90-4365-ABAD-C2922F6628A4}"/>
                </c:ext>
              </c:extLst>
            </c:dLbl>
            <c:dLbl>
              <c:idx val="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90-4365-ABAD-C2922F6628A4}"/>
                </c:ext>
              </c:extLst>
            </c:dLbl>
            <c:dLbl>
              <c:idx val="2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90-4365-ABAD-C2922F6628A4}"/>
                </c:ext>
              </c:extLst>
            </c:dLbl>
            <c:dLbl>
              <c:idx val="3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90-4365-ABAD-C2922F662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Exp1_bodylightskinemmisivity_6!$D$2:$D$6</c:f>
              <c:numCache>
                <c:formatCode>General</c:formatCode>
                <c:ptCount val="5"/>
                <c:pt idx="0">
                  <c:v>33.5</c:v>
                </c:pt>
                <c:pt idx="1">
                  <c:v>31.7</c:v>
                </c:pt>
                <c:pt idx="2">
                  <c:v>30</c:v>
                </c:pt>
                <c:pt idx="3">
                  <c:v>29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0-4365-ABAD-C2922F6628A4}"/>
            </c:ext>
          </c:extLst>
        </c:ser>
        <c:ser>
          <c:idx val="3"/>
          <c:order val="3"/>
          <c:tx>
            <c:strRef>
              <c:f>Exp1_bodylightskinemmisivity_6!$E$1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Exp1_bodylightskinemmisivity_6!$E$2:$E$6</c:f>
              <c:numCache>
                <c:formatCode>General</c:formatCode>
                <c:ptCount val="5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1-4902-A47C-3AFED69860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0298272"/>
        <c:axId val="872723912"/>
      </c:lineChart>
      <c:catAx>
        <c:axId val="56029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23912"/>
        <c:crosses val="autoZero"/>
        <c:auto val="1"/>
        <c:lblAlgn val="ctr"/>
        <c:lblOffset val="100"/>
        <c:noMultiLvlLbl val="0"/>
      </c:catAx>
      <c:valAx>
        <c:axId val="872723912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9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light skin without glasses on at random time interval under artificial home illumination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Exp1_bodylightskinemmisivity1_7!$B$1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Exp1_bodylightskinemmisivity1_7!$B$2:$B$6</c:f>
              <c:numCache>
                <c:formatCode>General</c:formatCode>
                <c:ptCount val="5"/>
                <c:pt idx="0">
                  <c:v>32.5</c:v>
                </c:pt>
                <c:pt idx="1">
                  <c:v>30.75</c:v>
                </c:pt>
                <c:pt idx="2">
                  <c:v>29.7</c:v>
                </c:pt>
                <c:pt idx="3">
                  <c:v>28.75</c:v>
                </c:pt>
                <c:pt idx="4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1-4719-9149-3A4420821D3A}"/>
            </c:ext>
          </c:extLst>
        </c:ser>
        <c:ser>
          <c:idx val="1"/>
          <c:order val="1"/>
          <c:tx>
            <c:strRef>
              <c:f>Exp1_bodylightskinemmisivity1_7!$C$1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Exp1_bodylightskinemmisivity1_7!$C$2:$C$6</c:f>
              <c:numCache>
                <c:formatCode>General</c:formatCode>
                <c:ptCount val="5"/>
                <c:pt idx="0">
                  <c:v>29.8</c:v>
                </c:pt>
                <c:pt idx="1">
                  <c:v>28.2</c:v>
                </c:pt>
                <c:pt idx="2">
                  <c:v>25.9</c:v>
                </c:pt>
                <c:pt idx="3">
                  <c:v>25.2</c:v>
                </c:pt>
                <c:pt idx="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1-4719-9149-3A4420821D3A}"/>
            </c:ext>
          </c:extLst>
        </c:ser>
        <c:ser>
          <c:idx val="2"/>
          <c:order val="2"/>
          <c:tx>
            <c:strRef>
              <c:f>Exp1_bodylightskinemmisivity1_7!$D$1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Exp1_bodylightskinemmisivity1_7!$D$2:$D$6</c:f>
              <c:numCache>
                <c:formatCode>General</c:formatCode>
                <c:ptCount val="5"/>
                <c:pt idx="0">
                  <c:v>32.5</c:v>
                </c:pt>
                <c:pt idx="1">
                  <c:v>30.5</c:v>
                </c:pt>
                <c:pt idx="2">
                  <c:v>30</c:v>
                </c:pt>
                <c:pt idx="3">
                  <c:v>29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1-4719-9149-3A4420821D3A}"/>
            </c:ext>
          </c:extLst>
        </c:ser>
        <c:ser>
          <c:idx val="3"/>
          <c:order val="3"/>
          <c:tx>
            <c:strRef>
              <c:f>Exp1_bodylightskinemmisivity1_7!$E$1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Exp1_bodylightskinemmisivity1_7!$E$2:$E$6</c:f>
              <c:numCache>
                <c:formatCode>General</c:formatCode>
                <c:ptCount val="5"/>
                <c:pt idx="0">
                  <c:v>36.200000000000003</c:v>
                </c:pt>
                <c:pt idx="1">
                  <c:v>36.200000000000003</c:v>
                </c:pt>
                <c:pt idx="2">
                  <c:v>36.200000000000003</c:v>
                </c:pt>
                <c:pt idx="3">
                  <c:v>36.200000000000003</c:v>
                </c:pt>
                <c:pt idx="4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5-4ED1-B841-150DC54023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630232"/>
        <c:axId val="680634912"/>
      </c:lineChart>
      <c:catAx>
        <c:axId val="680630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34912"/>
        <c:crosses val="autoZero"/>
        <c:auto val="1"/>
        <c:lblAlgn val="ctr"/>
        <c:lblOffset val="100"/>
        <c:noMultiLvlLbl val="0"/>
      </c:catAx>
      <c:valAx>
        <c:axId val="680634912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3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light skin under natural home illumination and low Ambient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878423026343306E-2"/>
          <c:y val="9.2819414414318277E-2"/>
          <c:w val="0.87321836005414311"/>
          <c:h val="0.74907045939156158"/>
        </c:manualLayout>
      </c:layout>
      <c:lineChart>
        <c:grouping val="standard"/>
        <c:varyColors val="0"/>
        <c:ser>
          <c:idx val="0"/>
          <c:order val="0"/>
          <c:tx>
            <c:strRef>
              <c:f>Exp1_Lightskinlowtempnaturalh_8!$B$1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Exp1_Lightskinlowtempnaturalh_8!$B$2:$B$6</c:f>
              <c:numCache>
                <c:formatCode>General</c:formatCode>
                <c:ptCount val="5"/>
                <c:pt idx="0">
                  <c:v>32</c:v>
                </c:pt>
                <c:pt idx="1">
                  <c:v>28.75</c:v>
                </c:pt>
                <c:pt idx="2">
                  <c:v>27.8</c:v>
                </c:pt>
                <c:pt idx="3">
                  <c:v>26.5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6-4912-9909-C5E2BC06D7FC}"/>
            </c:ext>
          </c:extLst>
        </c:ser>
        <c:ser>
          <c:idx val="1"/>
          <c:order val="1"/>
          <c:tx>
            <c:strRef>
              <c:f>Exp1_Lightskinlowtempnaturalh_8!$C$1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Exp1_Lightskinlowtempnaturalh_8!$C$2:$C$6</c:f>
              <c:numCache>
                <c:formatCode>General</c:formatCode>
                <c:ptCount val="5"/>
                <c:pt idx="0">
                  <c:v>31.6</c:v>
                </c:pt>
                <c:pt idx="1">
                  <c:v>30</c:v>
                </c:pt>
                <c:pt idx="2">
                  <c:v>29</c:v>
                </c:pt>
                <c:pt idx="3">
                  <c:v>28.2</c:v>
                </c:pt>
                <c:pt idx="4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6-4912-9909-C5E2BC06D7FC}"/>
            </c:ext>
          </c:extLst>
        </c:ser>
        <c:ser>
          <c:idx val="2"/>
          <c:order val="2"/>
          <c:tx>
            <c:strRef>
              <c:f>Exp1_Lightskinlowtempnaturalh_8!$D$1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Exp1_Lightskinlowtempnaturalh_8!$D$2:$D$6</c:f>
              <c:numCache>
                <c:formatCode>General</c:formatCode>
                <c:ptCount val="5"/>
                <c:pt idx="0">
                  <c:v>32</c:v>
                </c:pt>
                <c:pt idx="1">
                  <c:v>29</c:v>
                </c:pt>
                <c:pt idx="2">
                  <c:v>27.25</c:v>
                </c:pt>
                <c:pt idx="3">
                  <c:v>26.5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6-4912-9909-C5E2BC06D7FC}"/>
            </c:ext>
          </c:extLst>
        </c:ser>
        <c:ser>
          <c:idx val="3"/>
          <c:order val="3"/>
          <c:tx>
            <c:strRef>
              <c:f>Exp1_Lightskinlowtempnaturalh_8!$E$1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Exp1_Lightskinlowtempnaturalh_8!$E$2:$E$6</c:f>
              <c:numCache>
                <c:formatCode>General</c:formatCode>
                <c:ptCount val="5"/>
                <c:pt idx="0">
                  <c:v>36.1</c:v>
                </c:pt>
                <c:pt idx="1">
                  <c:v>36.1</c:v>
                </c:pt>
                <c:pt idx="2">
                  <c:v>36.1</c:v>
                </c:pt>
                <c:pt idx="3">
                  <c:v>36.1</c:v>
                </c:pt>
                <c:pt idx="4">
                  <c:v>36.1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5-4F0A-B778-2B1A6E668C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3328952"/>
        <c:axId val="783325352"/>
      </c:lineChart>
      <c:catAx>
        <c:axId val="783328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325352"/>
        <c:crosses val="autoZero"/>
        <c:auto val="1"/>
        <c:lblAlgn val="ctr"/>
        <c:lblOffset val="100"/>
        <c:noMultiLvlLbl val="0"/>
      </c:catAx>
      <c:valAx>
        <c:axId val="783325352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32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Dark skin under natural home illumination and low ambient temperature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Exp1_Darkskinlowtempnaturalho_9!$B$1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Exp1_Darkskinlowtempnaturalho_9!$B$2:$B$6</c:f>
              <c:numCache>
                <c:formatCode>General</c:formatCode>
                <c:ptCount val="5"/>
                <c:pt idx="0">
                  <c:v>32.75</c:v>
                </c:pt>
                <c:pt idx="1">
                  <c:v>29.25</c:v>
                </c:pt>
                <c:pt idx="2">
                  <c:v>28.25</c:v>
                </c:pt>
                <c:pt idx="3">
                  <c:v>27.25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1-4CC6-B723-289731B79D22}"/>
            </c:ext>
          </c:extLst>
        </c:ser>
        <c:ser>
          <c:idx val="1"/>
          <c:order val="1"/>
          <c:tx>
            <c:strRef>
              <c:f>Exp1_Darkskinlowtempnaturalho_9!$C$1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11-4CC6-B723-289731B79D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Exp1_Darkskinlowtempnaturalho_9!$C$2:$C$6</c:f>
              <c:numCache>
                <c:formatCode>General</c:formatCode>
                <c:ptCount val="5"/>
                <c:pt idx="0">
                  <c:v>30.9</c:v>
                </c:pt>
                <c:pt idx="1">
                  <c:v>29.5</c:v>
                </c:pt>
                <c:pt idx="2">
                  <c:v>28.8</c:v>
                </c:pt>
                <c:pt idx="3">
                  <c:v>28.5</c:v>
                </c:pt>
                <c:pt idx="4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1-4CC6-B723-289731B79D22}"/>
            </c:ext>
          </c:extLst>
        </c:ser>
        <c:ser>
          <c:idx val="2"/>
          <c:order val="2"/>
          <c:tx>
            <c:strRef>
              <c:f>Exp1_Darkskinlowtempnaturalho_9!$D$1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Exp1_Darkskinlowtempnaturalho_9!$D$2:$D$6</c:f>
              <c:numCache>
                <c:formatCode>General</c:formatCode>
                <c:ptCount val="5"/>
                <c:pt idx="0">
                  <c:v>31.5</c:v>
                </c:pt>
                <c:pt idx="1">
                  <c:v>28.5</c:v>
                </c:pt>
                <c:pt idx="2">
                  <c:v>28.5</c:v>
                </c:pt>
                <c:pt idx="3">
                  <c:v>27</c:v>
                </c:pt>
                <c:pt idx="4">
                  <c:v>26.25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1-4CC6-B723-289731B79D22}"/>
            </c:ext>
          </c:extLst>
        </c:ser>
        <c:ser>
          <c:idx val="3"/>
          <c:order val="3"/>
          <c:tx>
            <c:strRef>
              <c:f>Exp1_Darkskinlowtempnaturalho_9!$E$1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Exp1_Darkskinlowtempnaturalho_9!$E$2:$E$6</c:f>
              <c:numCache>
                <c:formatCode>General</c:formatCode>
                <c:ptCount val="5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8-4645-8188-21BE2F2F0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9734176"/>
        <c:axId val="989735616"/>
      </c:lineChart>
      <c:catAx>
        <c:axId val="98973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35616"/>
        <c:crosses val="autoZero"/>
        <c:auto val="1"/>
        <c:lblAlgn val="ctr"/>
        <c:lblOffset val="100"/>
        <c:noMultiLvlLbl val="0"/>
      </c:catAx>
      <c:valAx>
        <c:axId val="989735616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3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reading from Dark skin under artificial home illumination and low ambient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Exp1_Darksknlowtepartificial_10!$B$1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Exp1_Darksknlowtepartificial_10!$B$2:$B$6</c:f>
              <c:numCache>
                <c:formatCode>General</c:formatCode>
                <c:ptCount val="5"/>
                <c:pt idx="0">
                  <c:v>32.5</c:v>
                </c:pt>
                <c:pt idx="1">
                  <c:v>29.5</c:v>
                </c:pt>
                <c:pt idx="2">
                  <c:v>28.75</c:v>
                </c:pt>
                <c:pt idx="3">
                  <c:v>27.75</c:v>
                </c:pt>
                <c:pt idx="4">
                  <c:v>26.75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B-4652-95DE-2E4F5A66DA4A}"/>
            </c:ext>
          </c:extLst>
        </c:ser>
        <c:ser>
          <c:idx val="1"/>
          <c:order val="1"/>
          <c:tx>
            <c:strRef>
              <c:f>Exp1_Darksknlowtepartificial_10!$C$1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Exp1_Darksknlowtepartificial_10!$C$2:$C$6</c:f>
              <c:numCache>
                <c:formatCode>General</c:formatCode>
                <c:ptCount val="5"/>
                <c:pt idx="0">
                  <c:v>30.4</c:v>
                </c:pt>
                <c:pt idx="1">
                  <c:v>29.6</c:v>
                </c:pt>
                <c:pt idx="2">
                  <c:v>28</c:v>
                </c:pt>
                <c:pt idx="3">
                  <c:v>26.2</c:v>
                </c:pt>
                <c:pt idx="4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B-4652-95DE-2E4F5A66DA4A}"/>
            </c:ext>
          </c:extLst>
        </c:ser>
        <c:ser>
          <c:idx val="2"/>
          <c:order val="2"/>
          <c:tx>
            <c:strRef>
              <c:f>Exp1_Darksknlowtepartificial_10!$D$1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Exp1_Darksknlowtepartificial_10!$D$2:$D$6</c:f>
              <c:numCache>
                <c:formatCode>General</c:formatCode>
                <c:ptCount val="5"/>
                <c:pt idx="0">
                  <c:v>32.25</c:v>
                </c:pt>
                <c:pt idx="1">
                  <c:v>29.75</c:v>
                </c:pt>
                <c:pt idx="2">
                  <c:v>28.75</c:v>
                </c:pt>
                <c:pt idx="3">
                  <c:v>26.2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B-4652-95DE-2E4F5A66DA4A}"/>
            </c:ext>
          </c:extLst>
        </c:ser>
        <c:ser>
          <c:idx val="3"/>
          <c:order val="3"/>
          <c:tx>
            <c:strRef>
              <c:f>Exp1_Darksknlowtepartificial_10!$E$1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Exp1_Darksknlowtepartificial_10!$E$2:$E$6</c:f>
              <c:numCache>
                <c:formatCode>General</c:formatCode>
                <c:ptCount val="5"/>
                <c:pt idx="0">
                  <c:v>35.6</c:v>
                </c:pt>
                <c:pt idx="1">
                  <c:v>35.6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5B-4652-95DE-2E4F5A66DA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0327144"/>
        <c:axId val="2080315984"/>
      </c:lineChart>
      <c:catAx>
        <c:axId val="2080327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15984"/>
        <c:crosses val="autoZero"/>
        <c:auto val="1"/>
        <c:lblAlgn val="ctr"/>
        <c:lblOffset val="100"/>
        <c:noMultiLvlLbl val="0"/>
      </c:catAx>
      <c:valAx>
        <c:axId val="2080315984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2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Temperature reading from light skin under artificial home illumination and low ambient temperature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Exp1_lghtsknlowtempartificia_11!$B$1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Exp1_lghtsknlowtempartificia_11!$B$2:$B$6</c:f>
              <c:numCache>
                <c:formatCode>General</c:formatCode>
                <c:ptCount val="5"/>
                <c:pt idx="0">
                  <c:v>32.200000000000003</c:v>
                </c:pt>
                <c:pt idx="1">
                  <c:v>30.5</c:v>
                </c:pt>
                <c:pt idx="2">
                  <c:v>29.75</c:v>
                </c:pt>
                <c:pt idx="3">
                  <c:v>28.75</c:v>
                </c:pt>
                <c:pt idx="4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7-4B3C-8C3D-5D89CA162416}"/>
            </c:ext>
          </c:extLst>
        </c:ser>
        <c:ser>
          <c:idx val="1"/>
          <c:order val="1"/>
          <c:tx>
            <c:strRef>
              <c:f>Exp1_lghtsknlowtempartificia_11!$C$1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47-4B3C-8C3D-5D89CA162416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47-4B3C-8C3D-5D89CA162416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47-4B3C-8C3D-5D89CA162416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C47-4B3C-8C3D-5D89CA1624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Exp1_lghtsknlowtempartificia_11!$C$2:$C$6</c:f>
              <c:numCache>
                <c:formatCode>General</c:formatCode>
                <c:ptCount val="5"/>
                <c:pt idx="0">
                  <c:v>30.1</c:v>
                </c:pt>
                <c:pt idx="1">
                  <c:v>30</c:v>
                </c:pt>
                <c:pt idx="2">
                  <c:v>28.8</c:v>
                </c:pt>
                <c:pt idx="3">
                  <c:v>27.5</c:v>
                </c:pt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7-4B3C-8C3D-5D89CA162416}"/>
            </c:ext>
          </c:extLst>
        </c:ser>
        <c:ser>
          <c:idx val="2"/>
          <c:order val="2"/>
          <c:tx>
            <c:strRef>
              <c:f>Exp1_lghtsknlowtempartificia_11!$D$1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C47-4B3C-8C3D-5D89CA162416}"/>
              </c:ext>
            </c:extLst>
          </c:dPt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47-4B3C-8C3D-5D89CA162416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47-4B3C-8C3D-5D89CA162416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C47-4B3C-8C3D-5D89CA162416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C47-4B3C-8C3D-5D89CA1624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Exp1_lghtsknlowtempartificia_11!$D$2:$D$6</c:f>
              <c:numCache>
                <c:formatCode>General</c:formatCode>
                <c:ptCount val="5"/>
                <c:pt idx="0">
                  <c:v>31.5</c:v>
                </c:pt>
                <c:pt idx="1">
                  <c:v>29.25</c:v>
                </c:pt>
                <c:pt idx="2">
                  <c:v>28.5</c:v>
                </c:pt>
                <c:pt idx="3">
                  <c:v>28</c:v>
                </c:pt>
                <c:pt idx="4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7-4B3C-8C3D-5D89CA162416}"/>
            </c:ext>
          </c:extLst>
        </c:ser>
        <c:ser>
          <c:idx val="3"/>
          <c:order val="3"/>
          <c:tx>
            <c:strRef>
              <c:f>Exp1_lghtsknlowtempartificia_11!$E$1</c:f>
              <c:strCache>
                <c:ptCount val="1"/>
                <c:pt idx="0">
                  <c:v>Actual Temp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Exp1_lghtsknlowtempartificia_11!$E$2:$E$6</c:f>
              <c:numCache>
                <c:formatCode>General</c:formatCode>
                <c:ptCount val="5"/>
                <c:pt idx="0">
                  <c:v>36.9</c:v>
                </c:pt>
                <c:pt idx="1">
                  <c:v>36.9</c:v>
                </c:pt>
                <c:pt idx="2">
                  <c:v>36.9</c:v>
                </c:pt>
                <c:pt idx="3">
                  <c:v>36.9</c:v>
                </c:pt>
                <c:pt idx="4">
                  <c:v>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7-4B3C-8C3D-5D89CA1624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6141128"/>
        <c:axId val="1446149048"/>
      </c:lineChart>
      <c:catAx>
        <c:axId val="1446141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49048"/>
        <c:crosses val="autoZero"/>
        <c:auto val="1"/>
        <c:lblAlgn val="ctr"/>
        <c:lblOffset val="100"/>
        <c:noMultiLvlLbl val="0"/>
      </c:catAx>
      <c:valAx>
        <c:axId val="144614904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4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Reading from Pimoroni MLX90640 Thermal</a:t>
            </a:r>
            <a:r>
              <a:rPr lang="en-US" baseline="0"/>
              <a:t> camera</a:t>
            </a:r>
            <a:r>
              <a:rPr lang="en-US"/>
              <a:t>  (Degree Celsius), taken</a:t>
            </a:r>
            <a:r>
              <a:rPr lang="en-US" baseline="0"/>
              <a:t> at interval of 1M to 5M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64770725594595E-2"/>
          <c:y val="6.4455272671543468E-2"/>
          <c:w val="0.92256019827258828"/>
          <c:h val="0.83440707930695701"/>
        </c:manualLayout>
      </c:layout>
      <c:lineChart>
        <c:grouping val="standard"/>
        <c:varyColors val="0"/>
        <c:ser>
          <c:idx val="0"/>
          <c:order val="0"/>
          <c:tx>
            <c:strRef>
              <c:f>Exp1_CategoryofTempReadingfromP!$B$2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Exp1_CategoryofTempReadingfromP!$B$3:$B$13</c:f>
              <c:numCache>
                <c:formatCode>General</c:formatCode>
                <c:ptCount val="11"/>
                <c:pt idx="0">
                  <c:v>34.4</c:v>
                </c:pt>
                <c:pt idx="1">
                  <c:v>34.5</c:v>
                </c:pt>
                <c:pt idx="2">
                  <c:v>33.5</c:v>
                </c:pt>
                <c:pt idx="3">
                  <c:v>34.75</c:v>
                </c:pt>
                <c:pt idx="4">
                  <c:v>34.5</c:v>
                </c:pt>
                <c:pt idx="5">
                  <c:v>33.75</c:v>
                </c:pt>
                <c:pt idx="6">
                  <c:v>32.5</c:v>
                </c:pt>
                <c:pt idx="7">
                  <c:v>32</c:v>
                </c:pt>
                <c:pt idx="8">
                  <c:v>32.75</c:v>
                </c:pt>
                <c:pt idx="9">
                  <c:v>32.5</c:v>
                </c:pt>
                <c:pt idx="10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9-4CF4-85BB-2D8E609E6CFC}"/>
            </c:ext>
          </c:extLst>
        </c:ser>
        <c:ser>
          <c:idx val="1"/>
          <c:order val="1"/>
          <c:tx>
            <c:strRef>
              <c:f>Exp1_CategoryofTempReadingfromP!$D$2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Exp1_CategoryofTempReadingfromP!$D$3:$D$13</c:f>
              <c:numCache>
                <c:formatCode>General</c:formatCode>
                <c:ptCount val="11"/>
                <c:pt idx="0">
                  <c:v>32.200000000000003</c:v>
                </c:pt>
                <c:pt idx="1">
                  <c:v>32.9</c:v>
                </c:pt>
                <c:pt idx="2">
                  <c:v>31.5</c:v>
                </c:pt>
                <c:pt idx="3">
                  <c:v>32.25</c:v>
                </c:pt>
                <c:pt idx="4">
                  <c:v>31.75</c:v>
                </c:pt>
                <c:pt idx="5">
                  <c:v>31.5</c:v>
                </c:pt>
                <c:pt idx="6">
                  <c:v>30.75</c:v>
                </c:pt>
                <c:pt idx="7">
                  <c:v>28.75</c:v>
                </c:pt>
                <c:pt idx="8">
                  <c:v>29.25</c:v>
                </c:pt>
                <c:pt idx="9">
                  <c:v>29.5</c:v>
                </c:pt>
                <c:pt idx="10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9-4CF4-85BB-2D8E609E6CFC}"/>
            </c:ext>
          </c:extLst>
        </c:ser>
        <c:ser>
          <c:idx val="2"/>
          <c:order val="2"/>
          <c:tx>
            <c:strRef>
              <c:f>Exp1_CategoryofTempReadingfromP!$F$2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29-4CF4-85BB-2D8E609E6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Exp1_CategoryofTempReadingfromP!$F$3:$F$13</c:f>
              <c:numCache>
                <c:formatCode>General</c:formatCode>
                <c:ptCount val="11"/>
                <c:pt idx="0">
                  <c:v>31.5</c:v>
                </c:pt>
                <c:pt idx="1">
                  <c:v>32.5</c:v>
                </c:pt>
                <c:pt idx="2">
                  <c:v>29.2</c:v>
                </c:pt>
                <c:pt idx="3">
                  <c:v>30.75</c:v>
                </c:pt>
                <c:pt idx="4">
                  <c:v>30.5</c:v>
                </c:pt>
                <c:pt idx="5">
                  <c:v>30.2</c:v>
                </c:pt>
                <c:pt idx="6">
                  <c:v>29.7</c:v>
                </c:pt>
                <c:pt idx="7">
                  <c:v>27.8</c:v>
                </c:pt>
                <c:pt idx="8">
                  <c:v>28.25</c:v>
                </c:pt>
                <c:pt idx="9">
                  <c:v>28.75</c:v>
                </c:pt>
                <c:pt idx="10">
                  <c:v>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29-4CF4-85BB-2D8E609E6CFC}"/>
            </c:ext>
          </c:extLst>
        </c:ser>
        <c:ser>
          <c:idx val="3"/>
          <c:order val="3"/>
          <c:tx>
            <c:strRef>
              <c:f>Exp1_CategoryofTempReadingfromP!$H$2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629-4CF4-85BB-2D8E609E6CFC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29-4CF4-85BB-2D8E609E6CFC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29-4CF4-85BB-2D8E609E6CFC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629-4CF4-85BB-2D8E609E6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Exp1_CategoryofTempReadingfromP!$H$3:$H$13</c:f>
              <c:numCache>
                <c:formatCode>General</c:formatCode>
                <c:ptCount val="11"/>
                <c:pt idx="0">
                  <c:v>30.5</c:v>
                </c:pt>
                <c:pt idx="1">
                  <c:v>32.9</c:v>
                </c:pt>
                <c:pt idx="2">
                  <c:v>29</c:v>
                </c:pt>
                <c:pt idx="3">
                  <c:v>30.25</c:v>
                </c:pt>
                <c:pt idx="4">
                  <c:v>30.25</c:v>
                </c:pt>
                <c:pt idx="5">
                  <c:v>29.5</c:v>
                </c:pt>
                <c:pt idx="6">
                  <c:v>28.75</c:v>
                </c:pt>
                <c:pt idx="7">
                  <c:v>26.5</c:v>
                </c:pt>
                <c:pt idx="8">
                  <c:v>27.25</c:v>
                </c:pt>
                <c:pt idx="9">
                  <c:v>27.75</c:v>
                </c:pt>
                <c:pt idx="10">
                  <c:v>28.75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29-4CF4-85BB-2D8E609E6CFC}"/>
            </c:ext>
          </c:extLst>
        </c:ser>
        <c:ser>
          <c:idx val="4"/>
          <c:order val="4"/>
          <c:tx>
            <c:strRef>
              <c:f>Exp1_CategoryofTempReadingfromP!$J$2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Exp1_CategoryofTempReadingfromP!$J$3:$J$13</c:f>
              <c:numCache>
                <c:formatCode>General</c:formatCode>
                <c:ptCount val="11"/>
                <c:pt idx="0">
                  <c:v>30</c:v>
                </c:pt>
                <c:pt idx="1">
                  <c:v>31.5</c:v>
                </c:pt>
                <c:pt idx="2">
                  <c:v>28</c:v>
                </c:pt>
                <c:pt idx="3">
                  <c:v>30</c:v>
                </c:pt>
                <c:pt idx="4">
                  <c:v>29.75</c:v>
                </c:pt>
                <c:pt idx="5">
                  <c:v>28.5</c:v>
                </c:pt>
                <c:pt idx="6">
                  <c:v>24.1</c:v>
                </c:pt>
                <c:pt idx="7">
                  <c:v>25.2</c:v>
                </c:pt>
                <c:pt idx="8">
                  <c:v>27</c:v>
                </c:pt>
                <c:pt idx="9">
                  <c:v>26.75</c:v>
                </c:pt>
                <c:pt idx="10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29-4CF4-85BB-2D8E609E6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012104"/>
        <c:axId val="870004904"/>
      </c:lineChart>
      <c:catAx>
        <c:axId val="870012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  <a:r>
                  <a:rPr lang="en-US" baseline="0"/>
                  <a:t> </a:t>
                </a:r>
                <a:r>
                  <a:rPr lang="en-US"/>
                  <a:t>of Temp reading by</a:t>
                </a:r>
                <a:r>
                  <a:rPr lang="en-US" baseline="0"/>
                  <a:t> </a:t>
                </a:r>
                <a:r>
                  <a:rPr lang="en-US"/>
                  <a:t>Pimoroni Thermal Camera MLX90640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04904"/>
        <c:crosses val="autoZero"/>
        <c:auto val="1"/>
        <c:lblAlgn val="ctr"/>
        <c:lblOffset val="100"/>
        <c:noMultiLvlLbl val="0"/>
      </c:catAx>
      <c:valAx>
        <c:axId val="870004904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1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RS PRO T-10 Thermal Camera (Degree Celsius),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Exp1_CategoriesofTempreadingbyR!$B$2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Exp1_CategoriesofTempreadingbyR!$B$3:$B$13</c:f>
              <c:numCache>
                <c:formatCode>General</c:formatCode>
                <c:ptCount val="11"/>
                <c:pt idx="0">
                  <c:v>32</c:v>
                </c:pt>
                <c:pt idx="1">
                  <c:v>33</c:v>
                </c:pt>
                <c:pt idx="2">
                  <c:v>31</c:v>
                </c:pt>
                <c:pt idx="3">
                  <c:v>30.1</c:v>
                </c:pt>
                <c:pt idx="4">
                  <c:v>30.4</c:v>
                </c:pt>
                <c:pt idx="5">
                  <c:v>30.3</c:v>
                </c:pt>
                <c:pt idx="6">
                  <c:v>29.8</c:v>
                </c:pt>
                <c:pt idx="7">
                  <c:v>31.6</c:v>
                </c:pt>
                <c:pt idx="8">
                  <c:v>30.9</c:v>
                </c:pt>
                <c:pt idx="9">
                  <c:v>30.4</c:v>
                </c:pt>
                <c:pt idx="10">
                  <c:v>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D-4B60-B178-5D0813E95828}"/>
            </c:ext>
          </c:extLst>
        </c:ser>
        <c:ser>
          <c:idx val="1"/>
          <c:order val="1"/>
          <c:tx>
            <c:strRef>
              <c:f>Exp1_CategoriesofTempreadingbyR!$D$2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3D-4B60-B178-5D0813E95828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3D-4B60-B178-5D0813E95828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3D-4B60-B178-5D0813E95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Exp1_CategoriesofTempreadingbyR!$D$3:$D$13</c:f>
              <c:numCache>
                <c:formatCode>General</c:formatCode>
                <c:ptCount val="11"/>
                <c:pt idx="0">
                  <c:v>29</c:v>
                </c:pt>
                <c:pt idx="1">
                  <c:v>31</c:v>
                </c:pt>
                <c:pt idx="2">
                  <c:v>29</c:v>
                </c:pt>
                <c:pt idx="3">
                  <c:v>28.4</c:v>
                </c:pt>
                <c:pt idx="4">
                  <c:v>29.9</c:v>
                </c:pt>
                <c:pt idx="5">
                  <c:v>29.3</c:v>
                </c:pt>
                <c:pt idx="6">
                  <c:v>28.2</c:v>
                </c:pt>
                <c:pt idx="7">
                  <c:v>30</c:v>
                </c:pt>
                <c:pt idx="8">
                  <c:v>29.5</c:v>
                </c:pt>
                <c:pt idx="9">
                  <c:v>29.6</c:v>
                </c:pt>
                <c:pt idx="1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D-4B60-B178-5D0813E95828}"/>
            </c:ext>
          </c:extLst>
        </c:ser>
        <c:ser>
          <c:idx val="2"/>
          <c:order val="2"/>
          <c:tx>
            <c:strRef>
              <c:f>Exp1_CategoriesofTempreadingbyR!$F$2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3D-4B60-B178-5D0813E95828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3D-4B60-B178-5D0813E95828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3D-4B60-B178-5D0813E9582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3D-4B60-B178-5D0813E95828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3D-4B60-B178-5D0813E95828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3D-4B60-B178-5D0813E95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Exp1_CategoriesofTempreadingbyR!$F$3:$F$13</c:f>
              <c:numCache>
                <c:formatCode>General</c:formatCode>
                <c:ptCount val="11"/>
                <c:pt idx="0">
                  <c:v>21.5</c:v>
                </c:pt>
                <c:pt idx="1">
                  <c:v>29.5</c:v>
                </c:pt>
                <c:pt idx="2">
                  <c:v>26.5</c:v>
                </c:pt>
                <c:pt idx="3">
                  <c:v>28.7</c:v>
                </c:pt>
                <c:pt idx="4">
                  <c:v>28.7</c:v>
                </c:pt>
                <c:pt idx="5">
                  <c:v>28.8</c:v>
                </c:pt>
                <c:pt idx="6">
                  <c:v>25.9</c:v>
                </c:pt>
                <c:pt idx="7">
                  <c:v>29</c:v>
                </c:pt>
                <c:pt idx="8">
                  <c:v>28.8</c:v>
                </c:pt>
                <c:pt idx="9">
                  <c:v>28</c:v>
                </c:pt>
                <c:pt idx="10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D-4B60-B178-5D0813E95828}"/>
            </c:ext>
          </c:extLst>
        </c:ser>
        <c:ser>
          <c:idx val="3"/>
          <c:order val="3"/>
          <c:tx>
            <c:strRef>
              <c:f>Exp1_CategoriesofTempreadingbyR!$H$2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3D-4B60-B178-5D0813E95828}"/>
                </c:ext>
              </c:extLst>
            </c:dLbl>
            <c:dLbl>
              <c:idx val="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3D-4B60-B178-5D0813E95828}"/>
                </c:ext>
              </c:extLst>
            </c:dLbl>
            <c:dLbl>
              <c:idx val="5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3D-4B60-B178-5D0813E95828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3D-4B60-B178-5D0813E95828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3D-4B60-B178-5D0813E95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Exp1_CategoriesofTempreadingbyR!$H$3:$H$13</c:f>
              <c:numCache>
                <c:formatCode>General</c:formatCode>
                <c:ptCount val="11"/>
                <c:pt idx="0">
                  <c:v>21.3</c:v>
                </c:pt>
                <c:pt idx="1">
                  <c:v>29.2</c:v>
                </c:pt>
                <c:pt idx="2">
                  <c:v>22</c:v>
                </c:pt>
                <c:pt idx="3">
                  <c:v>25.3</c:v>
                </c:pt>
                <c:pt idx="4">
                  <c:v>27.7</c:v>
                </c:pt>
                <c:pt idx="5">
                  <c:v>28.3</c:v>
                </c:pt>
                <c:pt idx="6">
                  <c:v>25.2</c:v>
                </c:pt>
                <c:pt idx="7">
                  <c:v>28.2</c:v>
                </c:pt>
                <c:pt idx="8">
                  <c:v>28.5</c:v>
                </c:pt>
                <c:pt idx="9">
                  <c:v>26.2</c:v>
                </c:pt>
                <c:pt idx="10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D-4B60-B178-5D0813E95828}"/>
            </c:ext>
          </c:extLst>
        </c:ser>
        <c:ser>
          <c:idx val="4"/>
          <c:order val="4"/>
          <c:tx>
            <c:strRef>
              <c:f>Exp1_CategoriesofTempreadingbyR!$J$2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Exp1_CategoriesofTempreadingbyR!$J$3:$J$13</c:f>
              <c:numCache>
                <c:formatCode>General</c:formatCode>
                <c:ptCount val="11"/>
                <c:pt idx="0">
                  <c:v>21</c:v>
                </c:pt>
                <c:pt idx="1">
                  <c:v>28</c:v>
                </c:pt>
                <c:pt idx="2">
                  <c:v>21</c:v>
                </c:pt>
                <c:pt idx="3">
                  <c:v>25</c:v>
                </c:pt>
                <c:pt idx="4">
                  <c:v>25.7</c:v>
                </c:pt>
                <c:pt idx="5">
                  <c:v>28</c:v>
                </c:pt>
                <c:pt idx="6">
                  <c:v>20.2</c:v>
                </c:pt>
                <c:pt idx="7">
                  <c:v>27.5</c:v>
                </c:pt>
                <c:pt idx="8">
                  <c:v>28.5</c:v>
                </c:pt>
                <c:pt idx="9">
                  <c:v>26.5</c:v>
                </c:pt>
                <c:pt idx="10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D-4B60-B178-5D0813E958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6370496"/>
        <c:axId val="1226372296"/>
      </c:lineChart>
      <c:catAx>
        <c:axId val="122637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by RS PRO T-10 Thermal Camera MLX90640  (degree Celsius)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72296"/>
        <c:crosses val="autoZero"/>
        <c:auto val="1"/>
        <c:lblAlgn val="ctr"/>
        <c:lblOffset val="100"/>
        <c:noMultiLvlLbl val="0"/>
      </c:catAx>
      <c:valAx>
        <c:axId val="1226372296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</a:t>
            </a:r>
            <a:r>
              <a:rPr lang="en-US" sz="1400" b="0" i="0" u="none" strike="noStrike" baseline="0">
                <a:effectLst/>
              </a:rPr>
              <a:t>RobotShop MLX90640 Camera (degree Celsius)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taken at interval of 1M to 5M</a:t>
            </a:r>
          </a:p>
        </c:rich>
      </c:tx>
      <c:layout>
        <c:manualLayout>
          <c:xMode val="edge"/>
          <c:yMode val="edge"/>
          <c:x val="7.8629352619023124E-2"/>
          <c:y val="8.037056389213434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Exp1_CategoriesofTempreadingRob!$B$2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Exp1_CategoriesofTempreadingRob!$B$3:$B$13</c:f>
              <c:numCache>
                <c:formatCode>General</c:formatCode>
                <c:ptCount val="11"/>
                <c:pt idx="0">
                  <c:v>34.4</c:v>
                </c:pt>
                <c:pt idx="1">
                  <c:v>34.5</c:v>
                </c:pt>
                <c:pt idx="2">
                  <c:v>33.5</c:v>
                </c:pt>
                <c:pt idx="3">
                  <c:v>33.5</c:v>
                </c:pt>
                <c:pt idx="4">
                  <c:v>33.25</c:v>
                </c:pt>
                <c:pt idx="5">
                  <c:v>33.5</c:v>
                </c:pt>
                <c:pt idx="6">
                  <c:v>32.5</c:v>
                </c:pt>
                <c:pt idx="7">
                  <c:v>32</c:v>
                </c:pt>
                <c:pt idx="8">
                  <c:v>31.5</c:v>
                </c:pt>
                <c:pt idx="9">
                  <c:v>32.25</c:v>
                </c:pt>
                <c:pt idx="10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7-4920-9215-F722971DAADD}"/>
            </c:ext>
          </c:extLst>
        </c:ser>
        <c:ser>
          <c:idx val="1"/>
          <c:order val="1"/>
          <c:tx>
            <c:strRef>
              <c:f>Exp1_CategoriesofTempreadingRob!$D$2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Exp1_CategoriesofTempreadingRob!$D$3:$D$13</c:f>
              <c:numCache>
                <c:formatCode>General</c:formatCode>
                <c:ptCount val="11"/>
                <c:pt idx="0">
                  <c:v>32.200000000000003</c:v>
                </c:pt>
                <c:pt idx="1">
                  <c:v>32.9</c:v>
                </c:pt>
                <c:pt idx="2">
                  <c:v>31</c:v>
                </c:pt>
                <c:pt idx="3">
                  <c:v>31.75</c:v>
                </c:pt>
                <c:pt idx="4">
                  <c:v>31</c:v>
                </c:pt>
                <c:pt idx="5">
                  <c:v>31.7</c:v>
                </c:pt>
                <c:pt idx="6">
                  <c:v>30.5</c:v>
                </c:pt>
                <c:pt idx="7">
                  <c:v>29</c:v>
                </c:pt>
                <c:pt idx="8">
                  <c:v>28.5</c:v>
                </c:pt>
                <c:pt idx="9">
                  <c:v>29.75</c:v>
                </c:pt>
                <c:pt idx="10">
                  <c:v>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7-4920-9215-F722971DAADD}"/>
            </c:ext>
          </c:extLst>
        </c:ser>
        <c:ser>
          <c:idx val="2"/>
          <c:order val="2"/>
          <c:tx>
            <c:strRef>
              <c:f>Exp1_CategoriesofTempreadingRob!$F$2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Exp1_CategoriesofTempreadingRob!$F$3:$F$13</c:f>
              <c:numCache>
                <c:formatCode>General</c:formatCode>
                <c:ptCount val="11"/>
                <c:pt idx="0">
                  <c:v>31</c:v>
                </c:pt>
                <c:pt idx="1">
                  <c:v>32</c:v>
                </c:pt>
                <c:pt idx="2">
                  <c:v>29</c:v>
                </c:pt>
                <c:pt idx="3">
                  <c:v>30.25</c:v>
                </c:pt>
                <c:pt idx="4">
                  <c:v>30.25</c:v>
                </c:pt>
                <c:pt idx="5">
                  <c:v>30</c:v>
                </c:pt>
                <c:pt idx="6">
                  <c:v>30</c:v>
                </c:pt>
                <c:pt idx="7">
                  <c:v>27.25</c:v>
                </c:pt>
                <c:pt idx="8">
                  <c:v>28.5</c:v>
                </c:pt>
                <c:pt idx="9">
                  <c:v>28.75</c:v>
                </c:pt>
                <c:pt idx="10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7-4920-9215-F722971DAADD}"/>
            </c:ext>
          </c:extLst>
        </c:ser>
        <c:ser>
          <c:idx val="3"/>
          <c:order val="3"/>
          <c:tx>
            <c:strRef>
              <c:f>Exp1_CategoriesofTempreadingRob!$H$2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17-4920-9215-F722971DAADD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17-4920-9215-F722971DAADD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17-4920-9215-F722971DAADD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17-4920-9215-F722971DAADD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17-4920-9215-F722971DAADD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17-4920-9215-F722971DA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Exp1_CategoriesofTempreadingRob!$H$3:$H$13</c:f>
              <c:numCache>
                <c:formatCode>General</c:formatCode>
                <c:ptCount val="11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29.25</c:v>
                </c:pt>
                <c:pt idx="4">
                  <c:v>29.75</c:v>
                </c:pt>
                <c:pt idx="5">
                  <c:v>29</c:v>
                </c:pt>
                <c:pt idx="6">
                  <c:v>29</c:v>
                </c:pt>
                <c:pt idx="7">
                  <c:v>26.5</c:v>
                </c:pt>
                <c:pt idx="8">
                  <c:v>27</c:v>
                </c:pt>
                <c:pt idx="9">
                  <c:v>26.2</c:v>
                </c:pt>
                <c:pt idx="10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17-4920-9215-F722971DAADD}"/>
            </c:ext>
          </c:extLst>
        </c:ser>
        <c:ser>
          <c:idx val="4"/>
          <c:order val="4"/>
          <c:tx>
            <c:strRef>
              <c:f>Exp1_CategoriesofTempreadingRob!$J$2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17-4920-9215-F722971DAADD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17-4920-9215-F722971DAADD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17-4920-9215-F722971DAAD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17-4920-9215-F722971DA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Exp1_CategoriesofTempreadingRob!$J$3:$J$13</c:f>
              <c:numCache>
                <c:formatCode>General</c:formatCode>
                <c:ptCount val="11"/>
                <c:pt idx="0">
                  <c:v>30.9</c:v>
                </c:pt>
                <c:pt idx="1">
                  <c:v>31</c:v>
                </c:pt>
                <c:pt idx="2">
                  <c:v>28</c:v>
                </c:pt>
                <c:pt idx="3">
                  <c:v>29.75</c:v>
                </c:pt>
                <c:pt idx="4">
                  <c:v>29.75</c:v>
                </c:pt>
                <c:pt idx="5">
                  <c:v>29</c:v>
                </c:pt>
                <c:pt idx="6">
                  <c:v>24</c:v>
                </c:pt>
                <c:pt idx="7">
                  <c:v>25</c:v>
                </c:pt>
                <c:pt idx="8">
                  <c:v>26.25</c:v>
                </c:pt>
                <c:pt idx="9">
                  <c:v>27</c:v>
                </c:pt>
                <c:pt idx="10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17-4920-9215-F722971DAA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1107520"/>
        <c:axId val="2131102480"/>
      </c:lineChart>
      <c:catAx>
        <c:axId val="2131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RobotShop MLX90640 Camera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02480"/>
        <c:crosses val="autoZero"/>
        <c:auto val="1"/>
        <c:lblAlgn val="ctr"/>
        <c:lblOffset val="100"/>
        <c:noMultiLvlLbl val="0"/>
      </c:catAx>
      <c:valAx>
        <c:axId val="2131102480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0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Average for each thermal camera at each distance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 each categories of Temp readings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Exp1_averageforeachthermalcamra!$B$1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Exp1_averageforeachthermalcamra!$B$2:$B$6</c:f>
              <c:numCache>
                <c:formatCode>General</c:formatCode>
                <c:ptCount val="5"/>
                <c:pt idx="0">
                  <c:v>33.395454545454541</c:v>
                </c:pt>
                <c:pt idx="1">
                  <c:v>30.986363636363638</c:v>
                </c:pt>
                <c:pt idx="2">
                  <c:v>29.9</c:v>
                </c:pt>
                <c:pt idx="3">
                  <c:v>29.218181818181815</c:v>
                </c:pt>
                <c:pt idx="4">
                  <c:v>28.09545454545454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F-4F1A-A2EF-B402F44DB324}"/>
            </c:ext>
          </c:extLst>
        </c:ser>
        <c:ser>
          <c:idx val="1"/>
          <c:order val="1"/>
          <c:tx>
            <c:strRef>
              <c:f>Exp1_averageforeachthermalcamra!$C$1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Exp1_averageforeachthermalcamra!$C$2:$C$6</c:f>
              <c:numCache>
                <c:formatCode>General</c:formatCode>
                <c:ptCount val="5"/>
                <c:pt idx="0">
                  <c:v>30.872727272727275</c:v>
                </c:pt>
                <c:pt idx="1">
                  <c:v>29.445454545454549</c:v>
                </c:pt>
                <c:pt idx="2">
                  <c:v>27.65454545454546</c:v>
                </c:pt>
                <c:pt idx="3">
                  <c:v>26.309090909090909</c:v>
                </c:pt>
                <c:pt idx="4">
                  <c:v>25.34545454545454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F-4F1A-A2EF-B402F44DB324}"/>
            </c:ext>
          </c:extLst>
        </c:ser>
        <c:ser>
          <c:idx val="2"/>
          <c:order val="2"/>
          <c:tx>
            <c:strRef>
              <c:f>Exp1_averageforeachthermalcamra!$D$1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Exp1_averageforeachthermalcamra!$D$2:$D$6</c:f>
              <c:numCache>
                <c:formatCode>General</c:formatCode>
                <c:ptCount val="5"/>
                <c:pt idx="0">
                  <c:v>32.945454545454545</c:v>
                </c:pt>
                <c:pt idx="1">
                  <c:v>30.686363636363634</c:v>
                </c:pt>
                <c:pt idx="2">
                  <c:v>29.59090909090909</c:v>
                </c:pt>
                <c:pt idx="3">
                  <c:v>28.563636363636363</c:v>
                </c:pt>
                <c:pt idx="4">
                  <c:v>28.013636363636362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F-4F1A-A2EF-B402F44D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57808"/>
        <c:axId val="2141458888"/>
      </c:lineChart>
      <c:catAx>
        <c:axId val="214145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58888"/>
        <c:crosses val="autoZero"/>
        <c:auto val="1"/>
        <c:lblAlgn val="ctr"/>
        <c:lblOffset val="100"/>
        <c:noMultiLvlLbl val="0"/>
      </c:catAx>
      <c:valAx>
        <c:axId val="2141458888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aseline="0"/>
                  <a:t>Temeprature in degree Celsisus 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 of</a:t>
            </a:r>
            <a:r>
              <a:rPr lang="en-US" baseline="0"/>
              <a:t> each Thermal Camera at each distance for each categories of Temp readings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Exp1_VarianceateachThermalCamer!$B$1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AD-4261-AF82-4D9F592E2CEF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AD-4261-AF82-4D9F592E2CEF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AD-4261-AF82-4D9F592E2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Exp1_VarianceateachThermalCamer!$B$2:$B$6</c:f>
              <c:numCache>
                <c:formatCode>General</c:formatCode>
                <c:ptCount val="5"/>
                <c:pt idx="0">
                  <c:v>1.081727272727272</c:v>
                </c:pt>
                <c:pt idx="1">
                  <c:v>1.8360454545454545</c:v>
                </c:pt>
                <c:pt idx="2">
                  <c:v>1.95</c:v>
                </c:pt>
                <c:pt idx="3">
                  <c:v>3.1311363636363625</c:v>
                </c:pt>
                <c:pt idx="4">
                  <c:v>4.9137272727272716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D-4261-AF82-4D9F592E2CEF}"/>
            </c:ext>
          </c:extLst>
        </c:ser>
        <c:ser>
          <c:idx val="1"/>
          <c:order val="1"/>
          <c:tx>
            <c:strRef>
              <c:f>Exp1_VarianceateachThermalCamer!$C$1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AD-4261-AF82-4D9F592E2CEF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AD-4261-AF82-4D9F592E2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Exp1_VarianceateachThermalCamer!$C$2:$C$6</c:f>
              <c:numCache>
                <c:formatCode>General</c:formatCode>
                <c:ptCount val="5"/>
                <c:pt idx="0">
                  <c:v>0.94618181818181757</c:v>
                </c:pt>
                <c:pt idx="1">
                  <c:v>0.63272727272727303</c:v>
                </c:pt>
                <c:pt idx="2">
                  <c:v>5.3747272727272719</c:v>
                </c:pt>
                <c:pt idx="3">
                  <c:v>6.9969090909090896</c:v>
                </c:pt>
                <c:pt idx="4">
                  <c:v>9.8727272727274791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D-4261-AF82-4D9F592E2CEF}"/>
            </c:ext>
          </c:extLst>
        </c:ser>
        <c:ser>
          <c:idx val="2"/>
          <c:order val="2"/>
          <c:tx>
            <c:strRef>
              <c:f>Exp1_VarianceateachThermalCamer!$D$1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AD-4261-AF82-4D9F592E2CEF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AD-4261-AF82-4D9F592E2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Exp1_VarianceateachThermalCamer!$D$2:$D$6</c:f>
              <c:numCache>
                <c:formatCode>General</c:formatCode>
                <c:ptCount val="5"/>
                <c:pt idx="0">
                  <c:v>1.1302272727272722</c:v>
                </c:pt>
                <c:pt idx="1">
                  <c:v>2.0145454545454546</c:v>
                </c:pt>
                <c:pt idx="2">
                  <c:v>1.7909090909090906</c:v>
                </c:pt>
                <c:pt idx="3">
                  <c:v>2.3870454545454551</c:v>
                </c:pt>
                <c:pt idx="4">
                  <c:v>5.3845454545454547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AD-4261-AF82-4D9F592E2C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9229352"/>
        <c:axId val="2039219272"/>
      </c:lineChart>
      <c:catAx>
        <c:axId val="2039229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19272"/>
        <c:crosses val="autoZero"/>
        <c:auto val="1"/>
        <c:lblAlgn val="ctr"/>
        <c:lblOffset val="100"/>
        <c:noMultiLvlLbl val="0"/>
      </c:catAx>
      <c:valAx>
        <c:axId val="20392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  <a:r>
                  <a:rPr lang="en-US" baseline="0"/>
                  <a:t> at each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2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Standard Deviation (SD) of each Thermal Camera at each distance for each categories of Temp readings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Exp1_SDforeachThermalCamera!$B$1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Exp1_SDforeachThermalCamera!$B$2:$B$6</c:f>
              <c:numCache>
                <c:formatCode>General</c:formatCode>
                <c:ptCount val="5"/>
                <c:pt idx="0">
                  <c:v>1.0400611870112604</c:v>
                </c:pt>
                <c:pt idx="1">
                  <c:v>1.3550075477817289</c:v>
                </c:pt>
                <c:pt idx="2">
                  <c:v>1.3964240043768941</c:v>
                </c:pt>
                <c:pt idx="3">
                  <c:v>1.7695017275030738</c:v>
                </c:pt>
                <c:pt idx="4">
                  <c:v>2.2166928683801173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0-4EA1-95EE-DF498E774B19}"/>
            </c:ext>
          </c:extLst>
        </c:ser>
        <c:ser>
          <c:idx val="1"/>
          <c:order val="1"/>
          <c:tx>
            <c:strRef>
              <c:f>Exp1_SDforeachThermalCamera!$C$1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Exp1_SDforeachThermalCamera!$C$2:$C$6</c:f>
              <c:numCache>
                <c:formatCode>General</c:formatCode>
                <c:ptCount val="5"/>
                <c:pt idx="0">
                  <c:v>0.97271877651344718</c:v>
                </c:pt>
                <c:pt idx="1">
                  <c:v>0.79544155833554042</c:v>
                </c:pt>
                <c:pt idx="2">
                  <c:v>2.3183458052515098</c:v>
                </c:pt>
                <c:pt idx="3">
                  <c:v>2.6451671196559756</c:v>
                </c:pt>
                <c:pt idx="4">
                  <c:v>3.1420896347379204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0-4EA1-95EE-DF498E774B19}"/>
            </c:ext>
          </c:extLst>
        </c:ser>
        <c:ser>
          <c:idx val="2"/>
          <c:order val="2"/>
          <c:tx>
            <c:strRef>
              <c:f>Exp1_SDforeachThermalCamera!$D$1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Exp1_SDforeachThermalCamera!$D$2:$D$6</c:f>
              <c:numCache>
                <c:formatCode>General</c:formatCode>
                <c:ptCount val="5"/>
                <c:pt idx="0">
                  <c:v>1.0631214759975796</c:v>
                </c:pt>
                <c:pt idx="1">
                  <c:v>1.4193468408199086</c:v>
                </c:pt>
                <c:pt idx="2">
                  <c:v>1.3382485161243747</c:v>
                </c:pt>
                <c:pt idx="3">
                  <c:v>1.5450066195798176</c:v>
                </c:pt>
                <c:pt idx="4">
                  <c:v>2.3204623363772692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0-4EA1-95EE-DF498E774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0239"/>
        <c:axId val="49409239"/>
      </c:lineChart>
      <c:catAx>
        <c:axId val="4940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9239"/>
        <c:crosses val="autoZero"/>
        <c:auto val="1"/>
        <c:lblAlgn val="ctr"/>
        <c:lblOffset val="100"/>
        <c:noMultiLvlLbl val="0"/>
      </c:catAx>
      <c:valAx>
        <c:axId val="4940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</a:t>
                </a:r>
                <a:r>
                  <a:rPr lang="en-US" sz="1600" baseline="0"/>
                  <a:t> in Degree Celsisus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Exp1_Average_SD!$B$2</c:f>
              <c:strCache>
                <c:ptCount val="1"/>
                <c:pt idx="0">
                  <c:v>Pimoroni MLX90640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Exp1_Average_SD!$C$3:$C$7</c:f>
                <c:numCache>
                  <c:formatCode>General</c:formatCode>
                  <c:ptCount val="5"/>
                  <c:pt idx="0">
                    <c:v>1.0400611870112604</c:v>
                  </c:pt>
                  <c:pt idx="1">
                    <c:v>1.3550075477817289</c:v>
                  </c:pt>
                  <c:pt idx="2">
                    <c:v>1.3964240043768941</c:v>
                  </c:pt>
                  <c:pt idx="3">
                    <c:v>1.7695017275030738</c:v>
                  </c:pt>
                  <c:pt idx="4">
                    <c:v>2.2166928683801173</c:v>
                  </c:pt>
                </c:numCache>
              </c:numRef>
            </c:plus>
            <c:minus>
              <c:numRef>
                <c:f>Exp1_Average_SD!$C$3:$C$7</c:f>
                <c:numCache>
                  <c:formatCode>General</c:formatCode>
                  <c:ptCount val="5"/>
                  <c:pt idx="0">
                    <c:v>1.0400611870112604</c:v>
                  </c:pt>
                  <c:pt idx="1">
                    <c:v>1.3550075477817289</c:v>
                  </c:pt>
                  <c:pt idx="2">
                    <c:v>1.3964240043768941</c:v>
                  </c:pt>
                  <c:pt idx="3">
                    <c:v>1.7695017275030738</c:v>
                  </c:pt>
                  <c:pt idx="4">
                    <c:v>2.2166928683801173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1">
                    <a:alpha val="94000"/>
                  </a:schemeClr>
                </a:solidFill>
                <a:round/>
              </a:ln>
              <a:effectLst/>
            </c:spPr>
          </c:errBars>
          <c:cat>
            <c:strRef>
              <c:f>Exp1_Average_SD!$A$3:$A$7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Exp1_Average_SD!$B$3:$B$7</c:f>
              <c:numCache>
                <c:formatCode>General</c:formatCode>
                <c:ptCount val="5"/>
                <c:pt idx="0">
                  <c:v>33.395454545454541</c:v>
                </c:pt>
                <c:pt idx="1">
                  <c:v>30.986363636363638</c:v>
                </c:pt>
                <c:pt idx="2">
                  <c:v>29.9</c:v>
                </c:pt>
                <c:pt idx="3">
                  <c:v>29.218181818181815</c:v>
                </c:pt>
                <c:pt idx="4">
                  <c:v>28.09545454545454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D-4CD8-ADDD-9EAC2CD321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2880168"/>
        <c:axId val="852878008"/>
      </c:barChart>
      <c:catAx>
        <c:axId val="852880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</a:t>
                </a:r>
                <a:r>
                  <a:rPr lang="en-US" baseline="0"/>
                  <a:t>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78008"/>
        <c:crosses val="autoZero"/>
        <c:auto val="1"/>
        <c:lblAlgn val="ctr"/>
        <c:lblOffset val="100"/>
        <c:noMultiLvlLbl val="0"/>
      </c:catAx>
      <c:valAx>
        <c:axId val="85287800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Average/SD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8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Exp1_Average_SD!$F$2</c:f>
              <c:strCache>
                <c:ptCount val="1"/>
                <c:pt idx="0">
                  <c:v> RS PRO T-10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Exp1_Average_SD!$G$3:$G$7</c:f>
                <c:numCache>
                  <c:formatCode>General</c:formatCode>
                  <c:ptCount val="5"/>
                  <c:pt idx="0">
                    <c:v>0.97271877651344718</c:v>
                  </c:pt>
                  <c:pt idx="1">
                    <c:v>0.79544155833554042</c:v>
                  </c:pt>
                  <c:pt idx="2">
                    <c:v>2.3183458052515098</c:v>
                  </c:pt>
                  <c:pt idx="3">
                    <c:v>2.6451671196559756</c:v>
                  </c:pt>
                  <c:pt idx="4">
                    <c:v>3.1420896347379204</c:v>
                  </c:pt>
                </c:numCache>
              </c:numRef>
            </c:plus>
            <c:minus>
              <c:numRef>
                <c:f>Exp1_Average_SD!$G$3:$G$7</c:f>
                <c:numCache>
                  <c:formatCode>General</c:formatCode>
                  <c:ptCount val="5"/>
                  <c:pt idx="0">
                    <c:v>0.97271877651344718</c:v>
                  </c:pt>
                  <c:pt idx="1">
                    <c:v>0.79544155833554042</c:v>
                  </c:pt>
                  <c:pt idx="2">
                    <c:v>2.3183458052515098</c:v>
                  </c:pt>
                  <c:pt idx="3">
                    <c:v>2.6451671196559756</c:v>
                  </c:pt>
                  <c:pt idx="4">
                    <c:v>3.1420896347379204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2">
                    <a:alpha val="88000"/>
                  </a:schemeClr>
                </a:solidFill>
                <a:round/>
              </a:ln>
              <a:effectLst/>
            </c:spPr>
          </c:errBars>
          <c:cat>
            <c:strRef>
              <c:f>Exp1_Average_SD!$E$3:$E$7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Exp1_Average_SD!$F$3:$F$7</c:f>
              <c:numCache>
                <c:formatCode>General</c:formatCode>
                <c:ptCount val="5"/>
                <c:pt idx="0">
                  <c:v>30.872727272727275</c:v>
                </c:pt>
                <c:pt idx="1">
                  <c:v>29.445454545454549</c:v>
                </c:pt>
                <c:pt idx="2">
                  <c:v>27.65454545454546</c:v>
                </c:pt>
                <c:pt idx="3">
                  <c:v>26.309090909090909</c:v>
                </c:pt>
                <c:pt idx="4">
                  <c:v>25.34545454545454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C-4237-A6E0-CB783928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395128"/>
        <c:axId val="855399808"/>
      </c:barChart>
      <c:catAx>
        <c:axId val="855395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99808"/>
        <c:crosses val="autoZero"/>
        <c:auto val="1"/>
        <c:lblAlgn val="ctr"/>
        <c:lblOffset val="100"/>
        <c:noMultiLvlLbl val="0"/>
      </c:catAx>
      <c:valAx>
        <c:axId val="855399808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Average/SD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9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Exp1_Average_SD!$J$2</c:f>
              <c:strCache>
                <c:ptCount val="1"/>
                <c:pt idx="0">
                  <c:v>Robotshop MLX90640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>
                  <a:alpha val="88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Exp1_Average_SD!$K$3:$K$7</c:f>
                <c:numCache>
                  <c:formatCode>General</c:formatCode>
                  <c:ptCount val="5"/>
                  <c:pt idx="0">
                    <c:v>1.0631214759975796</c:v>
                  </c:pt>
                  <c:pt idx="1">
                    <c:v>1.4193468408199086</c:v>
                  </c:pt>
                  <c:pt idx="2">
                    <c:v>1.3382485161243747</c:v>
                  </c:pt>
                  <c:pt idx="3">
                    <c:v>1.5450066195798176</c:v>
                  </c:pt>
                  <c:pt idx="4">
                    <c:v>2.3204623363772692</c:v>
                  </c:pt>
                </c:numCache>
              </c:numRef>
            </c:plus>
            <c:minus>
              <c:numRef>
                <c:f>Exp1_Average_SD!$K$3:$K$7</c:f>
                <c:numCache>
                  <c:formatCode>General</c:formatCode>
                  <c:ptCount val="5"/>
                  <c:pt idx="0">
                    <c:v>1.0631214759975796</c:v>
                  </c:pt>
                  <c:pt idx="1">
                    <c:v>1.4193468408199086</c:v>
                  </c:pt>
                  <c:pt idx="2">
                    <c:v>1.3382485161243747</c:v>
                  </c:pt>
                  <c:pt idx="3">
                    <c:v>1.5450066195798176</c:v>
                  </c:pt>
                  <c:pt idx="4">
                    <c:v>2.3204623363772692</c:v>
                  </c:pt>
                </c:numCache>
              </c:numRef>
            </c:minus>
            <c:spPr>
              <a:noFill/>
              <a:ln w="28575" cap="flat" cmpd="sng" algn="ctr">
                <a:solidFill>
                  <a:srgbClr val="FFFF00">
                    <a:alpha val="89000"/>
                  </a:srgbClr>
                </a:solidFill>
                <a:round/>
              </a:ln>
              <a:effectLst/>
            </c:spPr>
          </c:errBars>
          <c:cat>
            <c:strRef>
              <c:f>Exp1_Average_SD!$I$3:$I$7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Exp1_Average_SD!$J$3:$J$7</c:f>
              <c:numCache>
                <c:formatCode>General</c:formatCode>
                <c:ptCount val="5"/>
                <c:pt idx="0">
                  <c:v>32.945454545454545</c:v>
                </c:pt>
                <c:pt idx="1">
                  <c:v>30.686363636363634</c:v>
                </c:pt>
                <c:pt idx="2">
                  <c:v>29.59090909090909</c:v>
                </c:pt>
                <c:pt idx="3">
                  <c:v>28.563636363636363</c:v>
                </c:pt>
                <c:pt idx="4">
                  <c:v>28.013636363636362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136-81B6-FE5A1BF24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792424"/>
        <c:axId val="851792784"/>
      </c:barChart>
      <c:catAx>
        <c:axId val="851792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92784"/>
        <c:crosses val="autoZero"/>
        <c:auto val="1"/>
        <c:lblAlgn val="ctr"/>
        <c:lblOffset val="100"/>
        <c:noMultiLvlLbl val="0"/>
      </c:catAx>
      <c:valAx>
        <c:axId val="851792784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Average/SD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9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Mean/SD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'Exp1_AV SD '!$B$2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'Exp1_AV SD '!$G$3:$G$7</c:f>
                <c:numCache>
                  <c:formatCode>General</c:formatCode>
                  <c:ptCount val="5"/>
                  <c:pt idx="0">
                    <c:v>1.0400611870112604</c:v>
                  </c:pt>
                  <c:pt idx="1">
                    <c:v>1.3550075477817289</c:v>
                  </c:pt>
                  <c:pt idx="2">
                    <c:v>1.3964240043768941</c:v>
                  </c:pt>
                  <c:pt idx="3">
                    <c:v>1.7695017275030738</c:v>
                  </c:pt>
                  <c:pt idx="4">
                    <c:v>2.2166928683801173</c:v>
                  </c:pt>
                </c:numCache>
              </c:numRef>
            </c:plus>
            <c:minus>
              <c:numRef>
                <c:f>'Exp1_AV SD '!$G$3:$G$7</c:f>
                <c:numCache>
                  <c:formatCode>General</c:formatCode>
                  <c:ptCount val="5"/>
                  <c:pt idx="0">
                    <c:v>1.0400611870112604</c:v>
                  </c:pt>
                  <c:pt idx="1">
                    <c:v>1.3550075477817289</c:v>
                  </c:pt>
                  <c:pt idx="2">
                    <c:v>1.3964240043768941</c:v>
                  </c:pt>
                  <c:pt idx="3">
                    <c:v>1.7695017275030738</c:v>
                  </c:pt>
                  <c:pt idx="4">
                    <c:v>2.2166928683801173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1">
                    <a:alpha val="80000"/>
                  </a:schemeClr>
                </a:solidFill>
                <a:round/>
              </a:ln>
              <a:effectLst/>
            </c:spPr>
          </c:errBars>
          <c:cat>
            <c:strRef>
              <c:f>'Exp1_AV SD '!$A$3:$A$7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'Exp1_AV SD '!$B$3:$B$7</c:f>
              <c:numCache>
                <c:formatCode>General</c:formatCode>
                <c:ptCount val="5"/>
                <c:pt idx="0">
                  <c:v>33.395454545454541</c:v>
                </c:pt>
                <c:pt idx="1">
                  <c:v>30.986363636363638</c:v>
                </c:pt>
                <c:pt idx="2">
                  <c:v>29.9</c:v>
                </c:pt>
                <c:pt idx="3">
                  <c:v>29.218181818181815</c:v>
                </c:pt>
                <c:pt idx="4">
                  <c:v>28.09545454545454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F-4F91-9CEE-CC000BE07A1D}"/>
            </c:ext>
          </c:extLst>
        </c:ser>
        <c:ser>
          <c:idx val="1"/>
          <c:order val="1"/>
          <c:tx>
            <c:strRef>
              <c:f>'Exp1_AV SD '!$C$2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'Exp1_AV SD '!$H$3:$H$7</c:f>
                <c:numCache>
                  <c:formatCode>General</c:formatCode>
                  <c:ptCount val="5"/>
                  <c:pt idx="0">
                    <c:v>0.97271877651344718</c:v>
                  </c:pt>
                  <c:pt idx="1">
                    <c:v>0.79544155833554042</c:v>
                  </c:pt>
                  <c:pt idx="2">
                    <c:v>2.3183458052515098</c:v>
                  </c:pt>
                  <c:pt idx="3">
                    <c:v>2.6451671196559756</c:v>
                  </c:pt>
                  <c:pt idx="4">
                    <c:v>3.1420896347379204</c:v>
                  </c:pt>
                </c:numCache>
              </c:numRef>
            </c:plus>
            <c:minus>
              <c:numRef>
                <c:f>'Exp1_AV SD '!$H$3:$H$7</c:f>
                <c:numCache>
                  <c:formatCode>General</c:formatCode>
                  <c:ptCount val="5"/>
                  <c:pt idx="0">
                    <c:v>0.97271877651344718</c:v>
                  </c:pt>
                  <c:pt idx="1">
                    <c:v>0.79544155833554042</c:v>
                  </c:pt>
                  <c:pt idx="2">
                    <c:v>2.3183458052515098</c:v>
                  </c:pt>
                  <c:pt idx="3">
                    <c:v>2.6451671196559756</c:v>
                  </c:pt>
                  <c:pt idx="4">
                    <c:v>3.1420896347379204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alpha val="88000"/>
                  </a:schemeClr>
                </a:solidFill>
                <a:round/>
              </a:ln>
              <a:effectLst/>
            </c:spPr>
          </c:errBars>
          <c:cat>
            <c:strRef>
              <c:f>'Exp1_AV SD '!$A$3:$A$7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'Exp1_AV SD '!$C$3:$C$7</c:f>
              <c:numCache>
                <c:formatCode>General</c:formatCode>
                <c:ptCount val="5"/>
                <c:pt idx="0">
                  <c:v>30.872727272727275</c:v>
                </c:pt>
                <c:pt idx="1">
                  <c:v>29.445454545454549</c:v>
                </c:pt>
                <c:pt idx="2">
                  <c:v>27.65454545454546</c:v>
                </c:pt>
                <c:pt idx="3">
                  <c:v>26.309090909090909</c:v>
                </c:pt>
                <c:pt idx="4">
                  <c:v>25.34545454545454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F-4F91-9CEE-CC000BE07A1D}"/>
            </c:ext>
          </c:extLst>
        </c:ser>
        <c:ser>
          <c:idx val="2"/>
          <c:order val="2"/>
          <c:tx>
            <c:strRef>
              <c:f>'Exp1_AV SD '!$D$2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'Exp1_AV SD '!$I$3:$I$7</c:f>
                <c:numCache>
                  <c:formatCode>General</c:formatCode>
                  <c:ptCount val="5"/>
                  <c:pt idx="0">
                    <c:v>1.0631214759975796</c:v>
                  </c:pt>
                  <c:pt idx="1">
                    <c:v>1.4193468408199086</c:v>
                  </c:pt>
                  <c:pt idx="2">
                    <c:v>1.3382485161243747</c:v>
                  </c:pt>
                  <c:pt idx="3">
                    <c:v>1.5450066195798176</c:v>
                  </c:pt>
                  <c:pt idx="4">
                    <c:v>2.3204623363772692</c:v>
                  </c:pt>
                </c:numCache>
              </c:numRef>
            </c:plus>
            <c:minus>
              <c:numRef>
                <c:f>'Exp1_AV SD '!$I$3:$I$7</c:f>
                <c:numCache>
                  <c:formatCode>General</c:formatCode>
                  <c:ptCount val="5"/>
                  <c:pt idx="0">
                    <c:v>1.0631214759975796</c:v>
                  </c:pt>
                  <c:pt idx="1">
                    <c:v>1.4193468408199086</c:v>
                  </c:pt>
                  <c:pt idx="2">
                    <c:v>1.3382485161243747</c:v>
                  </c:pt>
                  <c:pt idx="3">
                    <c:v>1.5450066195798176</c:v>
                  </c:pt>
                  <c:pt idx="4">
                    <c:v>2.3204623363772692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>
                    <a:alpha val="88000"/>
                  </a:srgbClr>
                </a:solidFill>
                <a:round/>
              </a:ln>
              <a:effectLst/>
            </c:spPr>
          </c:errBars>
          <c:cat>
            <c:strRef>
              <c:f>'Exp1_AV SD '!$A$3:$A$7</c:f>
              <c:strCache>
                <c:ptCount val="5"/>
                <c:pt idx="0">
                  <c:v>1 Metre</c:v>
                </c:pt>
                <c:pt idx="1">
                  <c:v>2 Metres</c:v>
                </c:pt>
                <c:pt idx="2">
                  <c:v>3 Metres</c:v>
                </c:pt>
                <c:pt idx="3">
                  <c:v>4 Metres</c:v>
                </c:pt>
                <c:pt idx="4">
                  <c:v>5 Metres</c:v>
                </c:pt>
              </c:strCache>
            </c:strRef>
          </c:cat>
          <c:val>
            <c:numRef>
              <c:f>'Exp1_AV SD '!$D$3:$D$7</c:f>
              <c:numCache>
                <c:formatCode>General</c:formatCode>
                <c:ptCount val="5"/>
                <c:pt idx="0">
                  <c:v>32.945454545454545</c:v>
                </c:pt>
                <c:pt idx="1">
                  <c:v>30.686363636363634</c:v>
                </c:pt>
                <c:pt idx="2">
                  <c:v>29.59090909090909</c:v>
                </c:pt>
                <c:pt idx="3">
                  <c:v>28.563636363636363</c:v>
                </c:pt>
                <c:pt idx="4">
                  <c:v>28.013636363636362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F-4F91-9CEE-CC000BE07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921240"/>
        <c:axId val="384924840"/>
      </c:lineChart>
      <c:catAx>
        <c:axId val="384921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24840"/>
        <c:crosses val="autoZero"/>
        <c:auto val="1"/>
        <c:lblAlgn val="ctr"/>
        <c:lblOffset val="100"/>
        <c:noMultiLvlLbl val="0"/>
      </c:catAx>
      <c:valAx>
        <c:axId val="384924840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Temperature</a:t>
                </a:r>
                <a:r>
                  <a:rPr lang="en-US" sz="2400" baseline="0"/>
                  <a:t> in degree Celsius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2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illumination, light skin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'[1]Natutal_illumination_light skin'!$B$1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0B-4506-803A-3EAF3144D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'[1]Natutal_illumination_light skin'!$B$2:$B$6</c:f>
              <c:numCache>
                <c:formatCode>General</c:formatCode>
                <c:ptCount val="5"/>
                <c:pt idx="0">
                  <c:v>30.1</c:v>
                </c:pt>
                <c:pt idx="1">
                  <c:v>25.1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B-4506-803A-3EAF3144DD08}"/>
            </c:ext>
          </c:extLst>
        </c:ser>
        <c:ser>
          <c:idx val="1"/>
          <c:order val="1"/>
          <c:tx>
            <c:strRef>
              <c:f>'[1]Natutal_illumination_light skin'!$C$1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'[1]Natutal_illumination_light skin'!$C$2:$C$6</c:f>
              <c:numCache>
                <c:formatCode>General</c:formatCode>
                <c:ptCount val="5"/>
                <c:pt idx="0">
                  <c:v>29.7</c:v>
                </c:pt>
                <c:pt idx="1">
                  <c:v>29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0B-4506-803A-3EAF3144DD08}"/>
            </c:ext>
          </c:extLst>
        </c:ser>
        <c:ser>
          <c:idx val="2"/>
          <c:order val="2"/>
          <c:tx>
            <c:strRef>
              <c:f>'[1]Natutal_illumination_light skin'!$D$1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'[1]Natutal_illumination_light skin'!$D$2:$D$6</c:f>
              <c:numCache>
                <c:formatCode>General</c:formatCode>
                <c:ptCount val="5"/>
                <c:pt idx="0">
                  <c:v>30</c:v>
                </c:pt>
                <c:pt idx="1">
                  <c:v>24.9</c:v>
                </c:pt>
                <c:pt idx="2">
                  <c:v>23</c:v>
                </c:pt>
                <c:pt idx="3">
                  <c:v>21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0B-4506-803A-3EAF3144DD08}"/>
            </c:ext>
          </c:extLst>
        </c:ser>
        <c:ser>
          <c:idx val="3"/>
          <c:order val="3"/>
          <c:tx>
            <c:strRef>
              <c:f>'[1]Natutal_illumination_light skin'!$E$1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'[1]Natutal_illumination_light skin'!$E$2:$E$6</c:f>
              <c:numCache>
                <c:formatCode>General</c:formatCode>
                <c:ptCount val="5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0B-4506-803A-3EAF3144DD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2987984"/>
        <c:axId val="552988344"/>
      </c:lineChart>
      <c:catAx>
        <c:axId val="55298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88344"/>
        <c:crosses val="autoZero"/>
        <c:auto val="1"/>
        <c:lblAlgn val="ctr"/>
        <c:lblOffset val="100"/>
        <c:noMultiLvlLbl val="0"/>
      </c:catAx>
      <c:valAx>
        <c:axId val="5529883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Naural Illumination, dark skin, with glasses 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[1]Naural_Illumination_dark_skinwg!$B$1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[1]Naural_Illumination_dark_skinwg!$B$2:$B$6</c:f>
              <c:numCache>
                <c:formatCode>General</c:formatCode>
                <c:ptCount val="5"/>
                <c:pt idx="0">
                  <c:v>29</c:v>
                </c:pt>
                <c:pt idx="1">
                  <c:v>24.5</c:v>
                </c:pt>
                <c:pt idx="2">
                  <c:v>23.5</c:v>
                </c:pt>
                <c:pt idx="3">
                  <c:v>22</c:v>
                </c:pt>
                <c:pt idx="4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1-4BC6-9EC7-EFE3A355AA3B}"/>
            </c:ext>
          </c:extLst>
        </c:ser>
        <c:ser>
          <c:idx val="1"/>
          <c:order val="1"/>
          <c:tx>
            <c:strRef>
              <c:f>[1]Naural_Illumination_dark_skinwg!$C$1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[1]Naural_Illumination_dark_skinwg!$C$2:$C$6</c:f>
              <c:numCache>
                <c:formatCode>General</c:formatCode>
                <c:ptCount val="5"/>
                <c:pt idx="0">
                  <c:v>29.3</c:v>
                </c:pt>
                <c:pt idx="1">
                  <c:v>29</c:v>
                </c:pt>
                <c:pt idx="2">
                  <c:v>27.8</c:v>
                </c:pt>
                <c:pt idx="3">
                  <c:v>27.8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1-4BC6-9EC7-EFE3A355AA3B}"/>
            </c:ext>
          </c:extLst>
        </c:ser>
        <c:ser>
          <c:idx val="2"/>
          <c:order val="2"/>
          <c:tx>
            <c:strRef>
              <c:f>[1]Naural_Illumination_dark_skinwg!$D$1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31-4BC6-9EC7-EFE3A355AA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[1]Naural_Illumination_dark_skinwg!$D$2:$D$6</c:f>
              <c:numCache>
                <c:formatCode>General</c:formatCode>
                <c:ptCount val="5"/>
                <c:pt idx="0">
                  <c:v>29.5</c:v>
                </c:pt>
                <c:pt idx="1">
                  <c:v>25.75</c:v>
                </c:pt>
                <c:pt idx="2">
                  <c:v>24</c:v>
                </c:pt>
                <c:pt idx="3">
                  <c:v>24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31-4BC6-9EC7-EFE3A355AA3B}"/>
            </c:ext>
          </c:extLst>
        </c:ser>
        <c:ser>
          <c:idx val="3"/>
          <c:order val="3"/>
          <c:tx>
            <c:strRef>
              <c:f>[1]Naural_Illumination_dark_skinwg!$E$1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[1]Naural_Illumination_dark_skinwg!$E$2:$E$6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31-4BC6-9EC7-EFE3A355AA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7698248"/>
        <c:axId val="527697168"/>
      </c:lineChart>
      <c:catAx>
        <c:axId val="52769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97168"/>
        <c:crosses val="autoZero"/>
        <c:auto val="1"/>
        <c:lblAlgn val="ctr"/>
        <c:lblOffset val="100"/>
        <c:noMultiLvlLbl val="0"/>
      </c:catAx>
      <c:valAx>
        <c:axId val="5276971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9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Natural Illumination, dark skin, without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[1]Naural_Illumination_darkskinwtg!$B$1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[1]Naural_Illumination_darkskinwtg!$B$2:$B$6</c:f>
              <c:numCache>
                <c:formatCode>General</c:formatCode>
                <c:ptCount val="5"/>
                <c:pt idx="0">
                  <c:v>29.7</c:v>
                </c:pt>
                <c:pt idx="1">
                  <c:v>25.7</c:v>
                </c:pt>
                <c:pt idx="2">
                  <c:v>23.8</c:v>
                </c:pt>
                <c:pt idx="3">
                  <c:v>21.8</c:v>
                </c:pt>
                <c:pt idx="4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3-427D-A67D-96F70B9BA74F}"/>
            </c:ext>
          </c:extLst>
        </c:ser>
        <c:ser>
          <c:idx val="1"/>
          <c:order val="1"/>
          <c:tx>
            <c:strRef>
              <c:f>[1]Naural_Illumination_darkskinwtg!$C$1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03-427D-A67D-96F70B9BA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[1]Naural_Illumination_darkskinwtg!$C$2:$C$6</c:f>
              <c:numCache>
                <c:formatCode>General</c:formatCode>
                <c:ptCount val="5"/>
                <c:pt idx="0">
                  <c:v>30</c:v>
                </c:pt>
                <c:pt idx="1">
                  <c:v>29.8</c:v>
                </c:pt>
                <c:pt idx="2">
                  <c:v>28.9</c:v>
                </c:pt>
                <c:pt idx="3">
                  <c:v>27.3</c:v>
                </c:pt>
                <c:pt idx="4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3-427D-A67D-96F70B9BA74F}"/>
            </c:ext>
          </c:extLst>
        </c:ser>
        <c:ser>
          <c:idx val="2"/>
          <c:order val="2"/>
          <c:tx>
            <c:strRef>
              <c:f>[1]Naural_Illumination_darkskinwtg!$D$1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[1]Naural_Illumination_darkskinwtg!$D$2:$D$6</c:f>
              <c:numCache>
                <c:formatCode>General</c:formatCode>
                <c:ptCount val="5"/>
                <c:pt idx="0">
                  <c:v>31.5</c:v>
                </c:pt>
                <c:pt idx="1">
                  <c:v>27</c:v>
                </c:pt>
                <c:pt idx="2">
                  <c:v>24.3</c:v>
                </c:pt>
                <c:pt idx="3">
                  <c:v>22.5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3-427D-A67D-96F70B9BA74F}"/>
            </c:ext>
          </c:extLst>
        </c:ser>
        <c:ser>
          <c:idx val="3"/>
          <c:order val="3"/>
          <c:tx>
            <c:strRef>
              <c:f>[1]Naural_Illumination_darkskinwtg!$E$1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[1]Naural_Illumination_darkskinwtg!$E$2:$E$6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3-427D-A67D-96F70B9BA7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0883472"/>
        <c:axId val="770884192"/>
      </c:lineChart>
      <c:catAx>
        <c:axId val="7708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84192"/>
        <c:crosses val="autoZero"/>
        <c:auto val="1"/>
        <c:lblAlgn val="ctr"/>
        <c:lblOffset val="100"/>
        <c:noMultiLvlLbl val="0"/>
      </c:catAx>
      <c:valAx>
        <c:axId val="7708841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Illumination,Light skin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[1]Artificial_Illumination_Light_s!$B$1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[1]Artificial_Illumination_Light_s!$B$2:$B$6</c:f>
              <c:numCache>
                <c:formatCode>General</c:formatCode>
                <c:ptCount val="5"/>
                <c:pt idx="0">
                  <c:v>28.1</c:v>
                </c:pt>
                <c:pt idx="1">
                  <c:v>24.5</c:v>
                </c:pt>
                <c:pt idx="2">
                  <c:v>23.5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B-4034-A024-C31581F65DF0}"/>
            </c:ext>
          </c:extLst>
        </c:ser>
        <c:ser>
          <c:idx val="1"/>
          <c:order val="1"/>
          <c:tx>
            <c:strRef>
              <c:f>[1]Artificial_Illumination_Light_s!$C$1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[1]Artificial_Illumination_Light_s!$C$2:$C$6</c:f>
              <c:numCache>
                <c:formatCode>General</c:formatCode>
                <c:ptCount val="5"/>
                <c:pt idx="0">
                  <c:v>30.4</c:v>
                </c:pt>
                <c:pt idx="1">
                  <c:v>29.2</c:v>
                </c:pt>
                <c:pt idx="2">
                  <c:v>27.5</c:v>
                </c:pt>
                <c:pt idx="3">
                  <c:v>26.2</c:v>
                </c:pt>
                <c:pt idx="4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B-4034-A024-C31581F65DF0}"/>
            </c:ext>
          </c:extLst>
        </c:ser>
        <c:ser>
          <c:idx val="2"/>
          <c:order val="2"/>
          <c:tx>
            <c:strRef>
              <c:f>[1]Artificial_Illumination_Light_s!$D$1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[1]Artificial_Illumination_Light_s!$D$2:$D$6</c:f>
              <c:numCache>
                <c:formatCode>General</c:formatCode>
                <c:ptCount val="5"/>
                <c:pt idx="0">
                  <c:v>29</c:v>
                </c:pt>
                <c:pt idx="1">
                  <c:v>25.6</c:v>
                </c:pt>
                <c:pt idx="2">
                  <c:v>24</c:v>
                </c:pt>
                <c:pt idx="3">
                  <c:v>22.5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B-4034-A024-C31581F65DF0}"/>
            </c:ext>
          </c:extLst>
        </c:ser>
        <c:ser>
          <c:idx val="3"/>
          <c:order val="3"/>
          <c:tx>
            <c:strRef>
              <c:f>[1]Artificial_Illumination_Light_s!$E$1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[1]Artificial_Illumination_Light_s!$E$2:$E$6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DB-4034-A024-C31581F65D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8554480"/>
        <c:axId val="768554840"/>
      </c:lineChart>
      <c:catAx>
        <c:axId val="76855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54840"/>
        <c:crosses val="autoZero"/>
        <c:auto val="1"/>
        <c:lblAlgn val="ctr"/>
        <c:lblOffset val="100"/>
        <c:noMultiLvlLbl val="0"/>
      </c:catAx>
      <c:valAx>
        <c:axId val="76855484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Dark skin with glass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[1]artificial_illuminatn_dksknwG!$B$1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[1]artificial_illuminatn_dksknwG!$B$2:$B$6</c:f>
              <c:numCache>
                <c:formatCode>General</c:formatCode>
                <c:ptCount val="5"/>
                <c:pt idx="0">
                  <c:v>29</c:v>
                </c:pt>
                <c:pt idx="1">
                  <c:v>26.5</c:v>
                </c:pt>
                <c:pt idx="2">
                  <c:v>24</c:v>
                </c:pt>
                <c:pt idx="3">
                  <c:v>23</c:v>
                </c:pt>
                <c:pt idx="4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0-4784-905F-86896B3A6362}"/>
            </c:ext>
          </c:extLst>
        </c:ser>
        <c:ser>
          <c:idx val="1"/>
          <c:order val="1"/>
          <c:tx>
            <c:strRef>
              <c:f>[1]artificial_illuminatn_dksknwG!$C$1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[1]artificial_illuminatn_dksknwG!$C$2:$C$6</c:f>
              <c:numCache>
                <c:formatCode>General</c:formatCode>
                <c:ptCount val="5"/>
                <c:pt idx="0">
                  <c:v>29.7</c:v>
                </c:pt>
                <c:pt idx="1">
                  <c:v>28.7</c:v>
                </c:pt>
                <c:pt idx="2">
                  <c:v>27.9</c:v>
                </c:pt>
                <c:pt idx="3">
                  <c:v>26.3</c:v>
                </c:pt>
                <c:pt idx="4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0-4784-905F-86896B3A6362}"/>
            </c:ext>
          </c:extLst>
        </c:ser>
        <c:ser>
          <c:idx val="2"/>
          <c:order val="2"/>
          <c:tx>
            <c:strRef>
              <c:f>[1]artificial_illuminatn_dksknwG!$D$1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C0-4784-905F-86896B3A63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[1]artificial_illuminatn_dksknwG!$D$2:$D$6</c:f>
              <c:numCache>
                <c:formatCode>General</c:formatCode>
                <c:ptCount val="5"/>
                <c:pt idx="0">
                  <c:v>30</c:v>
                </c:pt>
                <c:pt idx="1">
                  <c:v>26.8</c:v>
                </c:pt>
                <c:pt idx="2">
                  <c:v>24.5</c:v>
                </c:pt>
                <c:pt idx="3">
                  <c:v>24.4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C0-4784-905F-86896B3A6362}"/>
            </c:ext>
          </c:extLst>
        </c:ser>
        <c:ser>
          <c:idx val="3"/>
          <c:order val="3"/>
          <c:tx>
            <c:strRef>
              <c:f>[1]artificial_illuminatn_dksknwG!$E$1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[1]artificial_illuminatn_dksknwG!$E$2:$E$6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C0-4784-905F-86896B3A63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09808"/>
        <c:axId val="811507288"/>
      </c:lineChart>
      <c:catAx>
        <c:axId val="81150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7288"/>
        <c:crosses val="autoZero"/>
        <c:auto val="1"/>
        <c:lblAlgn val="ctr"/>
        <c:lblOffset val="100"/>
        <c:noMultiLvlLbl val="0"/>
      </c:catAx>
      <c:valAx>
        <c:axId val="8115072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Temparature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Dark skin without glass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[1]Artificial_illumination_Dark_sk!$B$1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[1]Artificial_illumination_Dark_sk!$B$2:$B$6</c:f>
              <c:numCache>
                <c:formatCode>General</c:formatCode>
                <c:ptCount val="5"/>
                <c:pt idx="0">
                  <c:v>29.8</c:v>
                </c:pt>
                <c:pt idx="1">
                  <c:v>26.3</c:v>
                </c:pt>
                <c:pt idx="2">
                  <c:v>24.5</c:v>
                </c:pt>
                <c:pt idx="3">
                  <c:v>23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B-4BE7-A77D-AF2002958E70}"/>
            </c:ext>
          </c:extLst>
        </c:ser>
        <c:ser>
          <c:idx val="1"/>
          <c:order val="1"/>
          <c:tx>
            <c:strRef>
              <c:f>[1]Artificial_illumination_Dark_sk!$C$1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9B-4BE7-A77D-AF2002958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[1]Artificial_illumination_Dark_sk!$C$2:$C$6</c:f>
              <c:numCache>
                <c:formatCode>General</c:formatCode>
                <c:ptCount val="5"/>
                <c:pt idx="0">
                  <c:v>29.9</c:v>
                </c:pt>
                <c:pt idx="1">
                  <c:v>29.2</c:v>
                </c:pt>
                <c:pt idx="2">
                  <c:v>28.4</c:v>
                </c:pt>
                <c:pt idx="3">
                  <c:v>27.5</c:v>
                </c:pt>
                <c:pt idx="4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9B-4BE7-A77D-AF2002958E70}"/>
            </c:ext>
          </c:extLst>
        </c:ser>
        <c:ser>
          <c:idx val="2"/>
          <c:order val="2"/>
          <c:tx>
            <c:strRef>
              <c:f>[1]Artificial_illumination_Dark_sk!$D$1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[1]Artificial_illumination_Dark_sk!$D$2:$D$6</c:f>
              <c:numCache>
                <c:formatCode>General</c:formatCode>
                <c:ptCount val="5"/>
                <c:pt idx="0">
                  <c:v>31</c:v>
                </c:pt>
                <c:pt idx="1">
                  <c:v>27.5</c:v>
                </c:pt>
                <c:pt idx="2">
                  <c:v>25</c:v>
                </c:pt>
                <c:pt idx="3">
                  <c:v>24.5</c:v>
                </c:pt>
                <c:pt idx="4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9B-4BE7-A77D-AF2002958E70}"/>
            </c:ext>
          </c:extLst>
        </c:ser>
        <c:ser>
          <c:idx val="3"/>
          <c:order val="3"/>
          <c:tx>
            <c:strRef>
              <c:f>[1]Artificial_illumination_Dark_sk!$E$1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[1]Artificial_illumination_Dark_sk!$E$2:$E$6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9B-4BE7-A77D-AF2002958E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7485016"/>
        <c:axId val="527485736"/>
      </c:lineChart>
      <c:catAx>
        <c:axId val="52748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85736"/>
        <c:crosses val="autoZero"/>
        <c:auto val="1"/>
        <c:lblAlgn val="ctr"/>
        <c:lblOffset val="100"/>
        <c:noMultiLvlLbl val="0"/>
      </c:catAx>
      <c:valAx>
        <c:axId val="5274857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8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  light skin  with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'[1]Natutal_Illuminatn _ltsknwg'!$B$1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_ltsknwg'!$B$2:$B$6</c:f>
              <c:numCache>
                <c:formatCode>General</c:formatCode>
                <c:ptCount val="5"/>
                <c:pt idx="0">
                  <c:v>30</c:v>
                </c:pt>
                <c:pt idx="1">
                  <c:v>26.5</c:v>
                </c:pt>
                <c:pt idx="2">
                  <c:v>24</c:v>
                </c:pt>
                <c:pt idx="3">
                  <c:v>22.5</c:v>
                </c:pt>
                <c:pt idx="4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9-4FD4-BDCF-7E9C116EC512}"/>
            </c:ext>
          </c:extLst>
        </c:ser>
        <c:ser>
          <c:idx val="1"/>
          <c:order val="1"/>
          <c:tx>
            <c:strRef>
              <c:f>'[1]Natutal_Illuminatn _ltsknwg'!$C$1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_ltsknwg'!$C$2:$C$6</c:f>
              <c:numCache>
                <c:formatCode>General</c:formatCode>
                <c:ptCount val="5"/>
                <c:pt idx="0">
                  <c:v>30.4</c:v>
                </c:pt>
                <c:pt idx="1">
                  <c:v>28.6</c:v>
                </c:pt>
                <c:pt idx="2">
                  <c:v>26.2</c:v>
                </c:pt>
                <c:pt idx="3">
                  <c:v>24.6</c:v>
                </c:pt>
                <c:pt idx="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9-4FD4-BDCF-7E9C116EC512}"/>
            </c:ext>
          </c:extLst>
        </c:ser>
        <c:ser>
          <c:idx val="2"/>
          <c:order val="2"/>
          <c:tx>
            <c:strRef>
              <c:f>'[1]Natutal_Illuminatn _ltsknwg'!$D$1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_ltsknwg'!$D$2:$D$6</c:f>
              <c:numCache>
                <c:formatCode>General</c:formatCode>
                <c:ptCount val="5"/>
                <c:pt idx="0">
                  <c:v>30.5</c:v>
                </c:pt>
                <c:pt idx="1">
                  <c:v>26</c:v>
                </c:pt>
                <c:pt idx="2">
                  <c:v>24.5</c:v>
                </c:pt>
                <c:pt idx="3">
                  <c:v>23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9-4FD4-BDCF-7E9C116EC512}"/>
            </c:ext>
          </c:extLst>
        </c:ser>
        <c:ser>
          <c:idx val="3"/>
          <c:order val="3"/>
          <c:tx>
            <c:strRef>
              <c:f>'[1]Natutal_Illuminatn _ltsknwg'!$E$1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_ltsknwg'!$E$2:$E$6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D9-4FD4-BDCF-7E9C116EC5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952048"/>
        <c:axId val="551952408"/>
      </c:lineChart>
      <c:catAx>
        <c:axId val="55195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52408"/>
        <c:crosses val="autoZero"/>
        <c:auto val="1"/>
        <c:lblAlgn val="ctr"/>
        <c:lblOffset val="100"/>
        <c:noMultiLvlLbl val="0"/>
      </c:catAx>
      <c:valAx>
        <c:axId val="55195240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5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 light skin without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'[1]Natutal_Illuminatn _ltsknwhgl'!$B$1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_ltsknwhgl'!$B$2:$B$6</c:f>
              <c:numCache>
                <c:formatCode>General</c:formatCode>
                <c:ptCount val="5"/>
                <c:pt idx="0">
                  <c:v>30.5</c:v>
                </c:pt>
                <c:pt idx="1">
                  <c:v>25.5</c:v>
                </c:pt>
                <c:pt idx="2">
                  <c:v>24.3</c:v>
                </c:pt>
                <c:pt idx="3">
                  <c:v>22.25</c:v>
                </c:pt>
                <c:pt idx="4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7-45CD-9D65-B3B259E132AC}"/>
            </c:ext>
          </c:extLst>
        </c:ser>
        <c:ser>
          <c:idx val="1"/>
          <c:order val="1"/>
          <c:tx>
            <c:strRef>
              <c:f>'[1]Natutal_Illuminatn _ltsknwhgl'!$C$1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47-45CD-9D65-B3B259E132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_ltsknwhgl'!$C$2:$C$6</c:f>
              <c:numCache>
                <c:formatCode>General</c:formatCode>
                <c:ptCount val="5"/>
                <c:pt idx="0">
                  <c:v>30.3</c:v>
                </c:pt>
                <c:pt idx="1">
                  <c:v>28.9</c:v>
                </c:pt>
                <c:pt idx="2">
                  <c:v>27.5</c:v>
                </c:pt>
                <c:pt idx="3">
                  <c:v>26.3</c:v>
                </c:pt>
                <c:pt idx="4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47-45CD-9D65-B3B259E132AC}"/>
            </c:ext>
          </c:extLst>
        </c:ser>
        <c:ser>
          <c:idx val="2"/>
          <c:order val="2"/>
          <c:tx>
            <c:strRef>
              <c:f>'[1]Natutal_Illuminatn _ltsknwhgl'!$D$1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_ltsknwhgl'!$D$2:$D$6</c:f>
              <c:numCache>
                <c:formatCode>General</c:formatCode>
                <c:ptCount val="5"/>
                <c:pt idx="0">
                  <c:v>31.2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47-45CD-9D65-B3B259E132AC}"/>
            </c:ext>
          </c:extLst>
        </c:ser>
        <c:ser>
          <c:idx val="3"/>
          <c:order val="3"/>
          <c:tx>
            <c:strRef>
              <c:f>'[1]Natutal_Illuminatn _ltsknwhgl'!$E$1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'[1]Natutal_Illuminatn _ltsknwhgl'!$E$2:$E$6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47-45CD-9D65-B3B259E132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17368"/>
        <c:axId val="811516648"/>
      </c:lineChart>
      <c:catAx>
        <c:axId val="81151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6648"/>
        <c:crosses val="autoZero"/>
        <c:auto val="1"/>
        <c:lblAlgn val="ctr"/>
        <c:lblOffset val="100"/>
        <c:noMultiLvlLbl val="0"/>
      </c:catAx>
      <c:valAx>
        <c:axId val="81151664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Artificail illumination light skin with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[1]artificial_illumintn_litsknwg!$B$1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[1]artificial_illumintn_litsknwg!$B$2:$B$6</c:f>
              <c:numCache>
                <c:formatCode>General</c:formatCode>
                <c:ptCount val="5"/>
                <c:pt idx="0">
                  <c:v>28.8</c:v>
                </c:pt>
                <c:pt idx="1">
                  <c:v>25.5</c:v>
                </c:pt>
                <c:pt idx="2">
                  <c:v>24.1</c:v>
                </c:pt>
                <c:pt idx="3">
                  <c:v>23.8</c:v>
                </c:pt>
                <c:pt idx="4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4-48CE-9BF8-39A1F2C1B51C}"/>
            </c:ext>
          </c:extLst>
        </c:ser>
        <c:ser>
          <c:idx val="1"/>
          <c:order val="1"/>
          <c:tx>
            <c:strRef>
              <c:f>[1]artificial_illumintn_litsknwg!$C$1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[1]artificial_illumintn_litsknwg!$C$2:$C$6</c:f>
              <c:numCache>
                <c:formatCode>General</c:formatCode>
                <c:ptCount val="5"/>
                <c:pt idx="0">
                  <c:v>30.5</c:v>
                </c:pt>
                <c:pt idx="1">
                  <c:v>28.5</c:v>
                </c:pt>
                <c:pt idx="2">
                  <c:v>28.1</c:v>
                </c:pt>
                <c:pt idx="3">
                  <c:v>27</c:v>
                </c:pt>
                <c:pt idx="4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4-48CE-9BF8-39A1F2C1B51C}"/>
            </c:ext>
          </c:extLst>
        </c:ser>
        <c:ser>
          <c:idx val="2"/>
          <c:order val="2"/>
          <c:tx>
            <c:strRef>
              <c:f>[1]artificial_illumintn_litsknwg!$D$1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84-48CE-9BF8-39A1F2C1B5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[1]artificial_illumintn_litsknwg!$D$2:$D$6</c:f>
              <c:numCache>
                <c:formatCode>General</c:formatCode>
                <c:ptCount val="5"/>
                <c:pt idx="0">
                  <c:v>29.5</c:v>
                </c:pt>
                <c:pt idx="1">
                  <c:v>26.3</c:v>
                </c:pt>
                <c:pt idx="2">
                  <c:v>25</c:v>
                </c:pt>
                <c:pt idx="3">
                  <c:v>24.3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84-48CE-9BF8-39A1F2C1B51C}"/>
            </c:ext>
          </c:extLst>
        </c:ser>
        <c:ser>
          <c:idx val="3"/>
          <c:order val="3"/>
          <c:tx>
            <c:strRef>
              <c:f>[1]artificial_illumintn_litsknwg!$E$1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[1]artificial_illumintn_litsknwg!$E$2:$E$6</c:f>
              <c:numCache>
                <c:formatCode>General</c:formatCode>
                <c:ptCount val="5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84-48CE-9BF8-39A1F2C1B5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08008"/>
        <c:axId val="811511968"/>
      </c:lineChart>
      <c:catAx>
        <c:axId val="811508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1968"/>
        <c:crosses val="autoZero"/>
        <c:auto val="1"/>
        <c:lblAlgn val="ctr"/>
        <c:lblOffset val="100"/>
        <c:noMultiLvlLbl val="0"/>
      </c:catAx>
      <c:valAx>
        <c:axId val="8115119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light skin without glasses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[1]artificial_illumintn_litsknwhgl!$B$1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[1]artificial_illumintn_litsknwhgl!$B$2:$B$6</c:f>
              <c:numCache>
                <c:formatCode>General</c:formatCode>
                <c:ptCount val="5"/>
                <c:pt idx="0">
                  <c:v>29.5</c:v>
                </c:pt>
                <c:pt idx="1">
                  <c:v>25.5</c:v>
                </c:pt>
                <c:pt idx="2">
                  <c:v>24.5</c:v>
                </c:pt>
                <c:pt idx="3">
                  <c:v>23.8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9-4BED-A183-6A7223460C34}"/>
            </c:ext>
          </c:extLst>
        </c:ser>
        <c:ser>
          <c:idx val="1"/>
          <c:order val="1"/>
          <c:tx>
            <c:strRef>
              <c:f>[1]artificial_illumintn_litsknwhgl!$C$1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[1]artificial_illumintn_litsknwhgl!$C$2:$C$6</c:f>
              <c:numCache>
                <c:formatCode>General</c:formatCode>
                <c:ptCount val="5"/>
                <c:pt idx="0">
                  <c:v>30.8</c:v>
                </c:pt>
                <c:pt idx="1">
                  <c:v>28.9</c:v>
                </c:pt>
                <c:pt idx="2">
                  <c:v>28</c:v>
                </c:pt>
                <c:pt idx="3">
                  <c:v>27.5</c:v>
                </c:pt>
                <c:pt idx="4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9-4BED-A183-6A7223460C34}"/>
            </c:ext>
          </c:extLst>
        </c:ser>
        <c:ser>
          <c:idx val="2"/>
          <c:order val="2"/>
          <c:tx>
            <c:strRef>
              <c:f>[1]artificial_illumintn_litsknwhgl!$D$1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C9-4BED-A183-6A7223460C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[1]artificial_illumintn_litsknwhgl!$D$2:$D$6</c:f>
              <c:numCache>
                <c:formatCode>General</c:formatCode>
                <c:ptCount val="5"/>
                <c:pt idx="0">
                  <c:v>30.5</c:v>
                </c:pt>
                <c:pt idx="1">
                  <c:v>26.3</c:v>
                </c:pt>
                <c:pt idx="2">
                  <c:v>25.3</c:v>
                </c:pt>
                <c:pt idx="3">
                  <c:v>24.8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C9-4BED-A183-6A7223460C34}"/>
            </c:ext>
          </c:extLst>
        </c:ser>
        <c:ser>
          <c:idx val="3"/>
          <c:order val="3"/>
          <c:tx>
            <c:strRef>
              <c:f>[1]artificial_illumintn_litsknwhgl!$E$1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[1]artificial_illumintn_litsknwhgl!$E$2:$E$6</c:f>
              <c:numCache>
                <c:formatCode>General</c:formatCode>
                <c:ptCount val="5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C9-4BED-A183-6A7223460C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2580960"/>
        <c:axId val="812581680"/>
      </c:lineChart>
      <c:catAx>
        <c:axId val="81258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81680"/>
        <c:crosses val="autoZero"/>
        <c:auto val="1"/>
        <c:lblAlgn val="ctr"/>
        <c:lblOffset val="100"/>
        <c:noMultiLvlLbl val="0"/>
      </c:catAx>
      <c:valAx>
        <c:axId val="81258168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Pimoroni MLX90640 Thermal camera  (Degree Celsius),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[1]readingdistancePimoroniMLX9064!$B$1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[1]readingdistancePimoroniMLX9064!$B$2:$B$11</c:f>
              <c:numCache>
                <c:formatCode>General</c:formatCode>
                <c:ptCount val="10"/>
                <c:pt idx="0">
                  <c:v>30.1</c:v>
                </c:pt>
                <c:pt idx="1">
                  <c:v>29</c:v>
                </c:pt>
                <c:pt idx="2">
                  <c:v>29.7</c:v>
                </c:pt>
                <c:pt idx="3">
                  <c:v>28.1</c:v>
                </c:pt>
                <c:pt idx="4">
                  <c:v>29</c:v>
                </c:pt>
                <c:pt idx="5">
                  <c:v>29.8</c:v>
                </c:pt>
                <c:pt idx="6">
                  <c:v>30</c:v>
                </c:pt>
                <c:pt idx="7">
                  <c:v>30.5</c:v>
                </c:pt>
                <c:pt idx="8">
                  <c:v>28.8</c:v>
                </c:pt>
                <c:pt idx="9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4-464E-A22A-C9D0623525C2}"/>
            </c:ext>
          </c:extLst>
        </c:ser>
        <c:ser>
          <c:idx val="1"/>
          <c:order val="1"/>
          <c:tx>
            <c:strRef>
              <c:f>[1]readingdistancePimoroniMLX9064!$C$1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[1]readingdistancePimoroniMLX9064!$C$2:$C$11</c:f>
              <c:numCache>
                <c:formatCode>General</c:formatCode>
                <c:ptCount val="10"/>
                <c:pt idx="0">
                  <c:v>25.1</c:v>
                </c:pt>
                <c:pt idx="1">
                  <c:v>24.5</c:v>
                </c:pt>
                <c:pt idx="2">
                  <c:v>25.7</c:v>
                </c:pt>
                <c:pt idx="3">
                  <c:v>24.5</c:v>
                </c:pt>
                <c:pt idx="4">
                  <c:v>26.5</c:v>
                </c:pt>
                <c:pt idx="5">
                  <c:v>26.3</c:v>
                </c:pt>
                <c:pt idx="6">
                  <c:v>26.5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4-464E-A22A-C9D0623525C2}"/>
            </c:ext>
          </c:extLst>
        </c:ser>
        <c:ser>
          <c:idx val="2"/>
          <c:order val="2"/>
          <c:tx>
            <c:strRef>
              <c:f>[1]readingdistancePimoroniMLX9064!$D$1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[1]readingdistancePimoroniMLX9064!$D$2:$D$11</c:f>
              <c:numCache>
                <c:formatCode>General</c:formatCode>
                <c:ptCount val="10"/>
                <c:pt idx="0">
                  <c:v>23</c:v>
                </c:pt>
                <c:pt idx="1">
                  <c:v>23.5</c:v>
                </c:pt>
                <c:pt idx="2">
                  <c:v>23.8</c:v>
                </c:pt>
                <c:pt idx="3">
                  <c:v>23.5</c:v>
                </c:pt>
                <c:pt idx="4">
                  <c:v>24</c:v>
                </c:pt>
                <c:pt idx="5">
                  <c:v>24.5</c:v>
                </c:pt>
                <c:pt idx="6">
                  <c:v>24</c:v>
                </c:pt>
                <c:pt idx="7">
                  <c:v>24.3</c:v>
                </c:pt>
                <c:pt idx="8">
                  <c:v>24.1</c:v>
                </c:pt>
                <c:pt idx="9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4-464E-A22A-C9D0623525C2}"/>
            </c:ext>
          </c:extLst>
        </c:ser>
        <c:ser>
          <c:idx val="3"/>
          <c:order val="3"/>
          <c:tx>
            <c:strRef>
              <c:f>[1]readingdistancePimoroniMLX9064!$E$1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[1]readingdistancePimoroniMLX9064!$E$2:$E$11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21.8</c:v>
                </c:pt>
                <c:pt idx="3">
                  <c:v>22</c:v>
                </c:pt>
                <c:pt idx="4">
                  <c:v>23</c:v>
                </c:pt>
                <c:pt idx="5">
                  <c:v>23</c:v>
                </c:pt>
                <c:pt idx="6">
                  <c:v>22.5</c:v>
                </c:pt>
                <c:pt idx="7">
                  <c:v>22.25</c:v>
                </c:pt>
                <c:pt idx="8">
                  <c:v>23.8</c:v>
                </c:pt>
                <c:pt idx="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4-464E-A22A-C9D0623525C2}"/>
            </c:ext>
          </c:extLst>
        </c:ser>
        <c:ser>
          <c:idx val="4"/>
          <c:order val="4"/>
          <c:tx>
            <c:strRef>
              <c:f>[1]readingdistancePimoroniMLX9064!$F$1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[1]readingdistancePimoroniMLX9064!$F$2:$F$11</c:f>
              <c:numCache>
                <c:formatCode>General</c:formatCode>
                <c:ptCount val="10"/>
                <c:pt idx="0">
                  <c:v>21</c:v>
                </c:pt>
                <c:pt idx="1">
                  <c:v>21.5</c:v>
                </c:pt>
                <c:pt idx="2">
                  <c:v>21.5</c:v>
                </c:pt>
                <c:pt idx="3">
                  <c:v>22</c:v>
                </c:pt>
                <c:pt idx="4">
                  <c:v>22.8</c:v>
                </c:pt>
                <c:pt idx="5">
                  <c:v>22.5</c:v>
                </c:pt>
                <c:pt idx="6">
                  <c:v>21.8</c:v>
                </c:pt>
                <c:pt idx="7">
                  <c:v>21.8</c:v>
                </c:pt>
                <c:pt idx="8">
                  <c:v>23.5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4-464E-A22A-C9D0623525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6100576"/>
        <c:axId val="556102736"/>
      </c:lineChart>
      <c:catAx>
        <c:axId val="55610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by Pimoroni Thermal Camera MLX90640  (degree Celsius)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02736"/>
        <c:crosses val="autoZero"/>
        <c:auto val="1"/>
        <c:lblAlgn val="ctr"/>
        <c:lblOffset val="100"/>
        <c:noMultiLvlLbl val="0"/>
      </c:catAx>
      <c:valAx>
        <c:axId val="5561027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RS PRO T-10 Thermal Camera (Degree Celsius),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'[1]readingdistanceRSPROT-10'!$B$1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'[1]readingdistanceRSPROT-10'!$B$2:$B$11</c:f>
              <c:numCache>
                <c:formatCode>General</c:formatCode>
                <c:ptCount val="10"/>
                <c:pt idx="0">
                  <c:v>29.7</c:v>
                </c:pt>
                <c:pt idx="1">
                  <c:v>29.3</c:v>
                </c:pt>
                <c:pt idx="2">
                  <c:v>30</c:v>
                </c:pt>
                <c:pt idx="3">
                  <c:v>30.4</c:v>
                </c:pt>
                <c:pt idx="4">
                  <c:v>29.7</c:v>
                </c:pt>
                <c:pt idx="5">
                  <c:v>29.9</c:v>
                </c:pt>
                <c:pt idx="6">
                  <c:v>30.4</c:v>
                </c:pt>
                <c:pt idx="7">
                  <c:v>30.3</c:v>
                </c:pt>
                <c:pt idx="8">
                  <c:v>30.5</c:v>
                </c:pt>
                <c:pt idx="9">
                  <c:v>30.8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0-4C49-8E3B-308DEB89191F}"/>
            </c:ext>
          </c:extLst>
        </c:ser>
        <c:ser>
          <c:idx val="1"/>
          <c:order val="1"/>
          <c:tx>
            <c:strRef>
              <c:f>'[1]readingdistanceRSPROT-10'!$C$1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'[1]readingdistanceRSPROT-10'!$C$2:$C$11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29.8</c:v>
                </c:pt>
                <c:pt idx="3">
                  <c:v>29.2</c:v>
                </c:pt>
                <c:pt idx="4">
                  <c:v>28.7</c:v>
                </c:pt>
                <c:pt idx="5">
                  <c:v>29.2</c:v>
                </c:pt>
                <c:pt idx="6">
                  <c:v>28.6</c:v>
                </c:pt>
                <c:pt idx="7">
                  <c:v>28.9</c:v>
                </c:pt>
                <c:pt idx="8">
                  <c:v>28.5</c:v>
                </c:pt>
                <c:pt idx="9">
                  <c:v>28.9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0-4C49-8E3B-308DEB89191F}"/>
            </c:ext>
          </c:extLst>
        </c:ser>
        <c:ser>
          <c:idx val="2"/>
          <c:order val="2"/>
          <c:tx>
            <c:strRef>
              <c:f>'[1]readingdistanceRSPROT-10'!$D$1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'[1]readingdistanceRSPROT-10'!$D$2:$D$11</c:f>
              <c:numCache>
                <c:formatCode>General</c:formatCode>
                <c:ptCount val="10"/>
                <c:pt idx="0">
                  <c:v>24</c:v>
                </c:pt>
                <c:pt idx="1">
                  <c:v>27.8</c:v>
                </c:pt>
                <c:pt idx="2">
                  <c:v>28.9</c:v>
                </c:pt>
                <c:pt idx="3">
                  <c:v>27.5</c:v>
                </c:pt>
                <c:pt idx="4">
                  <c:v>27.9</c:v>
                </c:pt>
                <c:pt idx="5">
                  <c:v>28.4</c:v>
                </c:pt>
                <c:pt idx="6">
                  <c:v>26.2</c:v>
                </c:pt>
                <c:pt idx="7">
                  <c:v>27.5</c:v>
                </c:pt>
                <c:pt idx="8">
                  <c:v>28.1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0-4C49-8E3B-308DEB89191F}"/>
            </c:ext>
          </c:extLst>
        </c:ser>
        <c:ser>
          <c:idx val="3"/>
          <c:order val="3"/>
          <c:tx>
            <c:strRef>
              <c:f>'[1]readingdistanceRSPROT-10'!$E$1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'[1]readingdistanceRSPROT-10'!$E$2:$E$11</c:f>
              <c:numCache>
                <c:formatCode>General</c:formatCode>
                <c:ptCount val="10"/>
                <c:pt idx="0">
                  <c:v>24</c:v>
                </c:pt>
                <c:pt idx="1">
                  <c:v>27.8</c:v>
                </c:pt>
                <c:pt idx="2">
                  <c:v>27.3</c:v>
                </c:pt>
                <c:pt idx="3">
                  <c:v>26.2</c:v>
                </c:pt>
                <c:pt idx="4">
                  <c:v>26.3</c:v>
                </c:pt>
                <c:pt idx="5">
                  <c:v>27.5</c:v>
                </c:pt>
                <c:pt idx="6">
                  <c:v>24.6</c:v>
                </c:pt>
                <c:pt idx="7">
                  <c:v>26.3</c:v>
                </c:pt>
                <c:pt idx="8">
                  <c:v>27</c:v>
                </c:pt>
                <c:pt idx="9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0-4C49-8E3B-308DEB89191F}"/>
            </c:ext>
          </c:extLst>
        </c:ser>
        <c:ser>
          <c:idx val="4"/>
          <c:order val="4"/>
          <c:tx>
            <c:strRef>
              <c:f>'[1]readingdistanceRSPROT-10'!$F$1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'[1]readingdistanceRSPROT-10'!$F$2:$F$11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26.2</c:v>
                </c:pt>
                <c:pt idx="3">
                  <c:v>24.2</c:v>
                </c:pt>
                <c:pt idx="4">
                  <c:v>26.1</c:v>
                </c:pt>
                <c:pt idx="5">
                  <c:v>26.4</c:v>
                </c:pt>
                <c:pt idx="6">
                  <c:v>22.9</c:v>
                </c:pt>
                <c:pt idx="7">
                  <c:v>23.6</c:v>
                </c:pt>
                <c:pt idx="8">
                  <c:v>23.5</c:v>
                </c:pt>
                <c:pt idx="9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0-4C49-8E3B-308DEB8919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1529072"/>
        <c:axId val="841529432"/>
      </c:lineChart>
      <c:catAx>
        <c:axId val="84152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by RS PRO T-10 Thermal Camera MLX90640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9432"/>
        <c:crosses val="autoZero"/>
        <c:auto val="1"/>
        <c:lblAlgn val="ctr"/>
        <c:lblOffset val="100"/>
        <c:noMultiLvlLbl val="0"/>
      </c:catAx>
      <c:valAx>
        <c:axId val="84152943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RobotShop MLX90640 Camera (degree Celsius)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[1]readingdistnceRobotshopMLX90640!$B$1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[1]readingdistnceRobotshopMLX90640!$B$2:$B$11</c:f>
              <c:numCache>
                <c:formatCode>General</c:formatCode>
                <c:ptCount val="10"/>
                <c:pt idx="0">
                  <c:v>30</c:v>
                </c:pt>
                <c:pt idx="1">
                  <c:v>29.5</c:v>
                </c:pt>
                <c:pt idx="2">
                  <c:v>31.5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30.5</c:v>
                </c:pt>
                <c:pt idx="7">
                  <c:v>31.2</c:v>
                </c:pt>
                <c:pt idx="8">
                  <c:v>29.5</c:v>
                </c:pt>
                <c:pt idx="9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8-4B46-B032-367890F528A7}"/>
            </c:ext>
          </c:extLst>
        </c:ser>
        <c:ser>
          <c:idx val="1"/>
          <c:order val="1"/>
          <c:tx>
            <c:strRef>
              <c:f>[1]readingdistnceRobotshopMLX90640!$C$1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[1]readingdistnceRobotshopMLX90640!$C$2:$C$11</c:f>
              <c:numCache>
                <c:formatCode>General</c:formatCode>
                <c:ptCount val="10"/>
                <c:pt idx="0">
                  <c:v>24.9</c:v>
                </c:pt>
                <c:pt idx="1">
                  <c:v>25.75</c:v>
                </c:pt>
                <c:pt idx="2">
                  <c:v>27</c:v>
                </c:pt>
                <c:pt idx="3">
                  <c:v>25.6</c:v>
                </c:pt>
                <c:pt idx="4">
                  <c:v>26.8</c:v>
                </c:pt>
                <c:pt idx="5">
                  <c:v>27.5</c:v>
                </c:pt>
                <c:pt idx="6">
                  <c:v>26</c:v>
                </c:pt>
                <c:pt idx="7">
                  <c:v>26</c:v>
                </c:pt>
                <c:pt idx="8">
                  <c:v>26.3</c:v>
                </c:pt>
                <c:pt idx="9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8-4B46-B032-367890F528A7}"/>
            </c:ext>
          </c:extLst>
        </c:ser>
        <c:ser>
          <c:idx val="2"/>
          <c:order val="2"/>
          <c:tx>
            <c:strRef>
              <c:f>[1]readingdistnceRobotshopMLX90640!$D$1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[1]readingdistnceRobotshopMLX90640!$D$2:$D$11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24.3</c:v>
                </c:pt>
                <c:pt idx="3">
                  <c:v>24</c:v>
                </c:pt>
                <c:pt idx="4">
                  <c:v>24.5</c:v>
                </c:pt>
                <c:pt idx="5">
                  <c:v>25</c:v>
                </c:pt>
                <c:pt idx="6">
                  <c:v>24.5</c:v>
                </c:pt>
                <c:pt idx="7">
                  <c:v>25</c:v>
                </c:pt>
                <c:pt idx="8">
                  <c:v>25</c:v>
                </c:pt>
                <c:pt idx="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8-4B46-B032-367890F528A7}"/>
            </c:ext>
          </c:extLst>
        </c:ser>
        <c:ser>
          <c:idx val="3"/>
          <c:order val="3"/>
          <c:tx>
            <c:strRef>
              <c:f>[1]readingdistnceRobotshopMLX90640!$E$1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[1]readingdistnceRobotshopMLX90640!$E$2:$E$11</c:f>
              <c:numCache>
                <c:formatCode>General</c:formatCode>
                <c:ptCount val="10"/>
                <c:pt idx="0">
                  <c:v>21</c:v>
                </c:pt>
                <c:pt idx="1">
                  <c:v>24</c:v>
                </c:pt>
                <c:pt idx="2">
                  <c:v>22.5</c:v>
                </c:pt>
                <c:pt idx="3">
                  <c:v>22.5</c:v>
                </c:pt>
                <c:pt idx="4">
                  <c:v>24.4</c:v>
                </c:pt>
                <c:pt idx="5">
                  <c:v>24.5</c:v>
                </c:pt>
                <c:pt idx="6">
                  <c:v>23</c:v>
                </c:pt>
                <c:pt idx="7">
                  <c:v>24</c:v>
                </c:pt>
                <c:pt idx="8">
                  <c:v>24.3</c:v>
                </c:pt>
                <c:pt idx="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8-4B46-B032-367890F528A7}"/>
            </c:ext>
          </c:extLst>
        </c:ser>
        <c:ser>
          <c:idx val="4"/>
          <c:order val="4"/>
          <c:tx>
            <c:strRef>
              <c:f>[1]readingdistnceRobotshopMLX90640!$F$1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[1]readingdistnceRobotshopMLX90640!$F$2:$F$11</c:f>
              <c:numCache>
                <c:formatCode>General</c:formatCode>
                <c:ptCount val="10"/>
                <c:pt idx="0">
                  <c:v>21</c:v>
                </c:pt>
                <c:pt idx="1">
                  <c:v>22.5</c:v>
                </c:pt>
                <c:pt idx="2">
                  <c:v>22</c:v>
                </c:pt>
                <c:pt idx="3">
                  <c:v>22</c:v>
                </c:pt>
                <c:pt idx="4">
                  <c:v>23</c:v>
                </c:pt>
                <c:pt idx="5">
                  <c:v>23.8</c:v>
                </c:pt>
                <c:pt idx="6">
                  <c:v>22.5</c:v>
                </c:pt>
                <c:pt idx="7">
                  <c:v>23.3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F8-4B46-B032-367890F528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8352944"/>
        <c:axId val="431468192"/>
      </c:lineChart>
      <c:catAx>
        <c:axId val="76835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RobotShop MLX90640 Camera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68192"/>
        <c:crosses val="autoZero"/>
        <c:auto val="1"/>
        <c:lblAlgn val="ctr"/>
        <c:lblOffset val="100"/>
        <c:noMultiLvlLbl val="0"/>
      </c:catAx>
      <c:valAx>
        <c:axId val="4314681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for each thermal camera at each distance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 each categories of Temp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[1]Avarageateachdistance!$B$1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[1]Avarageateachdistance!$B$2:$B$6</c:f>
              <c:numCache>
                <c:formatCode>General</c:formatCode>
                <c:ptCount val="5"/>
                <c:pt idx="0">
                  <c:v>29.45</c:v>
                </c:pt>
                <c:pt idx="1">
                  <c:v>25.56</c:v>
                </c:pt>
                <c:pt idx="2">
                  <c:v>23.92</c:v>
                </c:pt>
                <c:pt idx="3">
                  <c:v>22.615000000000002</c:v>
                </c:pt>
                <c:pt idx="4">
                  <c:v>22.140000000000004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85F-9197-A1548F5CECBE}"/>
            </c:ext>
          </c:extLst>
        </c:ser>
        <c:ser>
          <c:idx val="1"/>
          <c:order val="1"/>
          <c:tx>
            <c:strRef>
              <c:f>[1]Avarageateachdistance!$C$1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C0-485F-9197-A1548F5CE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[1]Avarageateachdistance!$C$2:$C$6</c:f>
              <c:numCache>
                <c:formatCode>General</c:formatCode>
                <c:ptCount val="5"/>
                <c:pt idx="0">
                  <c:v>30.100000000000005</c:v>
                </c:pt>
                <c:pt idx="1">
                  <c:v>28.979999999999997</c:v>
                </c:pt>
                <c:pt idx="2">
                  <c:v>27.429999999999996</c:v>
                </c:pt>
                <c:pt idx="3">
                  <c:v>26.45</c:v>
                </c:pt>
                <c:pt idx="4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C0-485F-9197-A1548F5CECBE}"/>
            </c:ext>
          </c:extLst>
        </c:ser>
        <c:ser>
          <c:idx val="2"/>
          <c:order val="2"/>
          <c:tx>
            <c:strRef>
              <c:f>[1]Avarageateachdistance!$D$1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C0-485F-9197-A1548F5CE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[1]Avarageateachdistance!$D$2:$D$6</c:f>
              <c:numCache>
                <c:formatCode>General</c:formatCode>
                <c:ptCount val="5"/>
                <c:pt idx="0">
                  <c:v>30.27</c:v>
                </c:pt>
                <c:pt idx="1">
                  <c:v>26.215000000000003</c:v>
                </c:pt>
                <c:pt idx="2">
                  <c:v>24.46</c:v>
                </c:pt>
                <c:pt idx="3">
                  <c:v>23.500000000000004</c:v>
                </c:pt>
                <c:pt idx="4">
                  <c:v>22.810000000000002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C0-485F-9197-A1548F5CEC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8638648"/>
        <c:axId val="828634328"/>
      </c:lineChart>
      <c:catAx>
        <c:axId val="828638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34328"/>
        <c:crosses val="autoZero"/>
        <c:auto val="1"/>
        <c:lblAlgn val="ctr"/>
        <c:lblOffset val="100"/>
        <c:noMultiLvlLbl val="0"/>
      </c:catAx>
      <c:valAx>
        <c:axId val="82863432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Aveage at each Distance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3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Standard Deviation (SD) of each Thermal Camera at each distance for each categories of Temp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[1]SDateachdiatnce!$B$1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1E-4895-BA6A-3FFC433A44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[1]SDateachdiatnce!$B$2:$B$6</c:f>
              <c:numCache>
                <c:formatCode>General</c:formatCode>
                <c:ptCount val="5"/>
                <c:pt idx="0">
                  <c:v>0.71995370221517241</c:v>
                </c:pt>
                <c:pt idx="1">
                  <c:v>0.73060097028253224</c:v>
                </c:pt>
                <c:pt idx="2">
                  <c:v>0.48027769744874349</c:v>
                </c:pt>
                <c:pt idx="3">
                  <c:v>0.74909204300198584</c:v>
                </c:pt>
                <c:pt idx="4">
                  <c:v>0.78343970908920479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1E-4895-BA6A-3FFC433A44BC}"/>
            </c:ext>
          </c:extLst>
        </c:ser>
        <c:ser>
          <c:idx val="1"/>
          <c:order val="1"/>
          <c:tx>
            <c:strRef>
              <c:f>[1]SDateachdiatnce!$C$1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[1]SDateachdiatnce!$C$2:$C$6</c:f>
              <c:numCache>
                <c:formatCode>General</c:formatCode>
                <c:ptCount val="5"/>
                <c:pt idx="0">
                  <c:v>0.45704364002673625</c:v>
                </c:pt>
                <c:pt idx="1">
                  <c:v>0.37058512292499463</c:v>
                </c:pt>
                <c:pt idx="2">
                  <c:v>1.3952697867358042</c:v>
                </c:pt>
                <c:pt idx="3">
                  <c:v>1.2730104302618872</c:v>
                </c:pt>
                <c:pt idx="4">
                  <c:v>1.3688600285557972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1E-4895-BA6A-3FFC433A44BC}"/>
            </c:ext>
          </c:extLst>
        </c:ser>
        <c:ser>
          <c:idx val="2"/>
          <c:order val="2"/>
          <c:tx>
            <c:strRef>
              <c:f>[1]SDateachdiatnce!$D$1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E-4895-BA6A-3FFC433A44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[1]SDateachdiatnce!$D$2:$D$6</c:f>
              <c:numCache>
                <c:formatCode>General</c:formatCode>
                <c:ptCount val="5"/>
                <c:pt idx="0">
                  <c:v>0.81383864084555069</c:v>
                </c:pt>
                <c:pt idx="1">
                  <c:v>0.74835003693310398</c:v>
                </c:pt>
                <c:pt idx="2">
                  <c:v>0.68019605016985107</c:v>
                </c:pt>
                <c:pt idx="3">
                  <c:v>1.2083045973594573</c:v>
                </c:pt>
                <c:pt idx="4">
                  <c:v>0.99269554468852372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1E-4895-BA6A-3FFC433A44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9395624"/>
        <c:axId val="559392384"/>
      </c:lineChart>
      <c:catAx>
        <c:axId val="559395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92384"/>
        <c:crosses val="autoZero"/>
        <c:auto val="1"/>
        <c:lblAlgn val="ctr"/>
        <c:lblOffset val="100"/>
        <c:noMultiLvlLbl val="0"/>
      </c:catAx>
      <c:valAx>
        <c:axId val="5593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SD at each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9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Avarage/SD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[1]Average_SD!$B$2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[1]Average_SD!$J$3:$J$7</c:f>
                <c:numCache>
                  <c:formatCode>General</c:formatCode>
                  <c:ptCount val="5"/>
                  <c:pt idx="0">
                    <c:v>0.81383864084555069</c:v>
                  </c:pt>
                  <c:pt idx="1">
                    <c:v>0.74835003693310398</c:v>
                  </c:pt>
                  <c:pt idx="2">
                    <c:v>0.68019605016985107</c:v>
                  </c:pt>
                  <c:pt idx="3">
                    <c:v>1.2083045973594573</c:v>
                  </c:pt>
                  <c:pt idx="4">
                    <c:v>0.99269554468852372</c:v>
                  </c:pt>
                </c:numCache>
              </c:numRef>
            </c:plus>
            <c:minus>
              <c:numRef>
                <c:f>[1]Average_SD!$J$3:$J$7</c:f>
                <c:numCache>
                  <c:formatCode>General</c:formatCode>
                  <c:ptCount val="5"/>
                  <c:pt idx="0">
                    <c:v>0.81383864084555069</c:v>
                  </c:pt>
                  <c:pt idx="1">
                    <c:v>0.74835003693310398</c:v>
                  </c:pt>
                  <c:pt idx="2">
                    <c:v>0.68019605016985107</c:v>
                  </c:pt>
                  <c:pt idx="3">
                    <c:v>1.2083045973594573</c:v>
                  </c:pt>
                  <c:pt idx="4">
                    <c:v>0.99269554468852372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accent1">
                    <a:alpha val="88000"/>
                  </a:schemeClr>
                </a:solidFill>
                <a:round/>
              </a:ln>
              <a:effectLst/>
            </c:spPr>
          </c:errBars>
          <c:val>
            <c:numRef>
              <c:f>[1]Average_SD!$B$3:$B$7</c:f>
              <c:numCache>
                <c:formatCode>General</c:formatCode>
                <c:ptCount val="5"/>
                <c:pt idx="0">
                  <c:v>29.45</c:v>
                </c:pt>
                <c:pt idx="1">
                  <c:v>25.56</c:v>
                </c:pt>
                <c:pt idx="2">
                  <c:v>23.92</c:v>
                </c:pt>
                <c:pt idx="3">
                  <c:v>22.615000000000002</c:v>
                </c:pt>
                <c:pt idx="4">
                  <c:v>22.140000000000004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E-4CB3-BDC1-269CA840F81A}"/>
            </c:ext>
          </c:extLst>
        </c:ser>
        <c:ser>
          <c:idx val="1"/>
          <c:order val="1"/>
          <c:tx>
            <c:strRef>
              <c:f>[1]Average_SD!$C$2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[1]Average_SD!$H$3:$H$7</c:f>
                <c:numCache>
                  <c:formatCode>General</c:formatCode>
                  <c:ptCount val="5"/>
                  <c:pt idx="0">
                    <c:v>0.71995370221517241</c:v>
                  </c:pt>
                  <c:pt idx="1">
                    <c:v>0.73060097028253224</c:v>
                  </c:pt>
                  <c:pt idx="2">
                    <c:v>0.48027769744874349</c:v>
                  </c:pt>
                  <c:pt idx="3">
                    <c:v>0.74909204300198584</c:v>
                  </c:pt>
                  <c:pt idx="4">
                    <c:v>0.78343970908920479</c:v>
                  </c:pt>
                </c:numCache>
              </c:numRef>
            </c:plus>
            <c:minus>
              <c:numRef>
                <c:f>[1]Average_SD!$H$3:$H$7</c:f>
                <c:numCache>
                  <c:formatCode>General</c:formatCode>
                  <c:ptCount val="5"/>
                  <c:pt idx="0">
                    <c:v>0.71995370221517241</c:v>
                  </c:pt>
                  <c:pt idx="1">
                    <c:v>0.73060097028253224</c:v>
                  </c:pt>
                  <c:pt idx="2">
                    <c:v>0.48027769744874349</c:v>
                  </c:pt>
                  <c:pt idx="3">
                    <c:v>0.74909204300198584</c:v>
                  </c:pt>
                  <c:pt idx="4">
                    <c:v>0.78343970908920479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accent2">
                    <a:alpha val="87000"/>
                  </a:schemeClr>
                </a:solidFill>
                <a:round/>
              </a:ln>
              <a:effectLst/>
            </c:spPr>
          </c:errBars>
          <c:val>
            <c:numRef>
              <c:f>[1]Average_SD!$C$3:$C$7</c:f>
              <c:numCache>
                <c:formatCode>General</c:formatCode>
                <c:ptCount val="5"/>
                <c:pt idx="0">
                  <c:v>30.100000000000005</c:v>
                </c:pt>
                <c:pt idx="1">
                  <c:v>28.979999999999997</c:v>
                </c:pt>
                <c:pt idx="2">
                  <c:v>27.429999999999996</c:v>
                </c:pt>
                <c:pt idx="3">
                  <c:v>26.45</c:v>
                </c:pt>
                <c:pt idx="4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E-4CB3-BDC1-269CA840F81A}"/>
            </c:ext>
          </c:extLst>
        </c:ser>
        <c:ser>
          <c:idx val="2"/>
          <c:order val="2"/>
          <c:tx>
            <c:strRef>
              <c:f>[1]Average_SD!$D$2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[1]Average_SD!$I$3:$I$7</c:f>
                <c:numCache>
                  <c:formatCode>General</c:formatCode>
                  <c:ptCount val="5"/>
                  <c:pt idx="0">
                    <c:v>0.45704364002673625</c:v>
                  </c:pt>
                  <c:pt idx="1">
                    <c:v>0.37058512292499463</c:v>
                  </c:pt>
                  <c:pt idx="2">
                    <c:v>1.3952697867358042</c:v>
                  </c:pt>
                  <c:pt idx="3">
                    <c:v>1.2730104302618872</c:v>
                  </c:pt>
                  <c:pt idx="4">
                    <c:v>1.3688600285557972</c:v>
                  </c:pt>
                </c:numCache>
              </c:numRef>
            </c:plus>
            <c:minus>
              <c:numRef>
                <c:f>[1]Average_SD!$I$3:$I$7</c:f>
                <c:numCache>
                  <c:formatCode>General</c:formatCode>
                  <c:ptCount val="5"/>
                  <c:pt idx="0">
                    <c:v>0.45704364002673625</c:v>
                  </c:pt>
                  <c:pt idx="1">
                    <c:v>0.37058512292499463</c:v>
                  </c:pt>
                  <c:pt idx="2">
                    <c:v>1.3952697867358042</c:v>
                  </c:pt>
                  <c:pt idx="3">
                    <c:v>1.2730104302618872</c:v>
                  </c:pt>
                  <c:pt idx="4">
                    <c:v>1.3688600285557972</c:v>
                  </c:pt>
                </c:numCache>
              </c:numRef>
            </c:minus>
            <c:spPr>
              <a:noFill/>
              <a:ln w="38100" cap="flat" cmpd="sng" algn="ctr">
                <a:solidFill>
                  <a:srgbClr val="FF0000">
                    <a:alpha val="88000"/>
                  </a:srgbClr>
                </a:solidFill>
                <a:round/>
              </a:ln>
              <a:effectLst/>
            </c:spPr>
          </c:errBars>
          <c:val>
            <c:numRef>
              <c:f>[1]Average_SD!$D$3:$D$7</c:f>
              <c:numCache>
                <c:formatCode>General</c:formatCode>
                <c:ptCount val="5"/>
                <c:pt idx="0">
                  <c:v>30.27</c:v>
                </c:pt>
                <c:pt idx="1">
                  <c:v>26.215000000000003</c:v>
                </c:pt>
                <c:pt idx="2">
                  <c:v>24.46</c:v>
                </c:pt>
                <c:pt idx="3">
                  <c:v>23.500000000000004</c:v>
                </c:pt>
                <c:pt idx="4">
                  <c:v>22.810000000000002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E-4CB3-BDC1-269CA840F8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1465160"/>
        <c:axId val="841465520"/>
      </c:lineChart>
      <c:catAx>
        <c:axId val="841465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5520"/>
        <c:crosses val="autoZero"/>
        <c:auto val="1"/>
        <c:lblAlgn val="ctr"/>
        <c:lblOffset val="100"/>
        <c:noMultiLvlLbl val="0"/>
      </c:catAx>
      <c:valAx>
        <c:axId val="84146552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/ Mean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Average/SD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Avg_SD!$B$2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Avg_SD!$H$3:$H$7</c:f>
                <c:numCache>
                  <c:formatCode>General</c:formatCode>
                  <c:ptCount val="5"/>
                  <c:pt idx="0">
                    <c:v>2.0644140949808389</c:v>
                  </c:pt>
                  <c:pt idx="1">
                    <c:v>2.7218688913020608</c:v>
                  </c:pt>
                  <c:pt idx="2">
                    <c:v>2.9382367661775679</c:v>
                  </c:pt>
                  <c:pt idx="3">
                    <c:v>3.2434007912699307</c:v>
                  </c:pt>
                  <c:pt idx="4">
                    <c:v>3.0779802498230246</c:v>
                  </c:pt>
                </c:numCache>
              </c:numRef>
            </c:plus>
            <c:minus>
              <c:numRef>
                <c:f>Avg_SD!$H$3:$H$7</c:f>
                <c:numCache>
                  <c:formatCode>General</c:formatCode>
                  <c:ptCount val="5"/>
                  <c:pt idx="0">
                    <c:v>2.0644140949808389</c:v>
                  </c:pt>
                  <c:pt idx="1">
                    <c:v>2.7218688913020608</c:v>
                  </c:pt>
                  <c:pt idx="2">
                    <c:v>2.9382367661775679</c:v>
                  </c:pt>
                  <c:pt idx="3">
                    <c:v>3.2434007912699307</c:v>
                  </c:pt>
                  <c:pt idx="4">
                    <c:v>3.0779802498230246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tx2">
                    <a:alpha val="80000"/>
                  </a:schemeClr>
                </a:solidFill>
                <a:round/>
              </a:ln>
              <a:effectLst/>
            </c:spPr>
          </c:errBars>
          <c:val>
            <c:numRef>
              <c:f>Avg_SD!$B$3:$B$7</c:f>
              <c:numCache>
                <c:formatCode>General</c:formatCode>
                <c:ptCount val="5"/>
                <c:pt idx="0">
                  <c:v>31.080555555555552</c:v>
                </c:pt>
                <c:pt idx="1">
                  <c:v>27.769444444444446</c:v>
                </c:pt>
                <c:pt idx="2">
                  <c:v>26.383333333333336</c:v>
                </c:pt>
                <c:pt idx="3">
                  <c:v>25.286111111111111</c:v>
                </c:pt>
                <c:pt idx="4">
                  <c:v>24.497222222222224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2-4E52-9BB4-08086006057D}"/>
            </c:ext>
          </c:extLst>
        </c:ser>
        <c:ser>
          <c:idx val="1"/>
          <c:order val="1"/>
          <c:tx>
            <c:strRef>
              <c:f>Avg_SD!$C$2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Avg_SD!$J$3:$J$7</c:f>
                <c:numCache>
                  <c:formatCode>General</c:formatCode>
                  <c:ptCount val="5"/>
                  <c:pt idx="0">
                    <c:v>1.3919469601494452</c:v>
                  </c:pt>
                  <c:pt idx="1">
                    <c:v>2.246187765331336</c:v>
                  </c:pt>
                  <c:pt idx="2">
                    <c:v>2.5663292367960091</c:v>
                  </c:pt>
                  <c:pt idx="3">
                    <c:v>2.6538293949529534</c:v>
                  </c:pt>
                  <c:pt idx="4">
                    <c:v>2.765622588252691</c:v>
                  </c:pt>
                </c:numCache>
              </c:numRef>
            </c:plus>
            <c:minus>
              <c:numRef>
                <c:f>Avg_SD!$J$3:$J$7</c:f>
                <c:numCache>
                  <c:formatCode>General</c:formatCode>
                  <c:ptCount val="5"/>
                  <c:pt idx="0">
                    <c:v>1.3919469601494452</c:v>
                  </c:pt>
                  <c:pt idx="1">
                    <c:v>2.246187765331336</c:v>
                  </c:pt>
                  <c:pt idx="2">
                    <c:v>2.5663292367960091</c:v>
                  </c:pt>
                  <c:pt idx="3">
                    <c:v>2.6538293949529534</c:v>
                  </c:pt>
                  <c:pt idx="4">
                    <c:v>2.765622588252691</c:v>
                  </c:pt>
                </c:numCache>
              </c:numRef>
            </c:minus>
            <c:spPr>
              <a:noFill/>
              <a:ln w="31750" cap="flat" cmpd="sng" algn="ctr">
                <a:solidFill>
                  <a:srgbClr val="FF0000">
                    <a:alpha val="80000"/>
                  </a:srgbClr>
                </a:solidFill>
                <a:round/>
              </a:ln>
              <a:effectLst/>
            </c:spPr>
          </c:errBars>
          <c:val>
            <c:numRef>
              <c:f>Avg_SD!$C$3:$C$7</c:f>
              <c:numCache>
                <c:formatCode>General</c:formatCode>
                <c:ptCount val="5"/>
                <c:pt idx="0">
                  <c:v>30.255555555555556</c:v>
                </c:pt>
                <c:pt idx="1">
                  <c:v>29.149999999999995</c:v>
                </c:pt>
                <c:pt idx="2">
                  <c:v>27.833333333333329</c:v>
                </c:pt>
                <c:pt idx="3">
                  <c:v>26.744444444444444</c:v>
                </c:pt>
                <c:pt idx="4">
                  <c:v>25.544444444444441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2-4E52-9BB4-08086006057D}"/>
            </c:ext>
          </c:extLst>
        </c:ser>
        <c:ser>
          <c:idx val="2"/>
          <c:order val="2"/>
          <c:tx>
            <c:strRef>
              <c:f>Avg_SD!$D$2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Avg_SD!$J$3:$J$7</c:f>
                <c:numCache>
                  <c:formatCode>General</c:formatCode>
                  <c:ptCount val="5"/>
                  <c:pt idx="0">
                    <c:v>1.3919469601494452</c:v>
                  </c:pt>
                  <c:pt idx="1">
                    <c:v>2.246187765331336</c:v>
                  </c:pt>
                  <c:pt idx="2">
                    <c:v>2.5663292367960091</c:v>
                  </c:pt>
                  <c:pt idx="3">
                    <c:v>2.6538293949529534</c:v>
                  </c:pt>
                  <c:pt idx="4">
                    <c:v>2.765622588252691</c:v>
                  </c:pt>
                </c:numCache>
              </c:numRef>
            </c:plus>
            <c:minus>
              <c:numRef>
                <c:f>Avg_SD!$J$3:$J$7</c:f>
                <c:numCache>
                  <c:formatCode>General</c:formatCode>
                  <c:ptCount val="5"/>
                  <c:pt idx="0">
                    <c:v>1.3919469601494452</c:v>
                  </c:pt>
                  <c:pt idx="1">
                    <c:v>2.246187765331336</c:v>
                  </c:pt>
                  <c:pt idx="2">
                    <c:v>2.5663292367960091</c:v>
                  </c:pt>
                  <c:pt idx="3">
                    <c:v>2.6538293949529534</c:v>
                  </c:pt>
                  <c:pt idx="4">
                    <c:v>2.765622588252691</c:v>
                  </c:pt>
                </c:numCache>
              </c:numRef>
            </c:minus>
            <c:spPr>
              <a:noFill/>
              <a:ln w="31750" cap="flat" cmpd="sng" algn="ctr">
                <a:solidFill>
                  <a:srgbClr val="FF0000">
                    <a:alpha val="80000"/>
                  </a:srgbClr>
                </a:solidFill>
                <a:round/>
              </a:ln>
              <a:effectLst/>
            </c:spPr>
          </c:errBars>
          <c:val>
            <c:numRef>
              <c:f>Avg_SD!$D$3:$D$7</c:f>
              <c:numCache>
                <c:formatCode>General</c:formatCode>
                <c:ptCount val="5"/>
                <c:pt idx="0">
                  <c:v>31.261111111111113</c:v>
                </c:pt>
                <c:pt idx="1">
                  <c:v>27.977777777777778</c:v>
                </c:pt>
                <c:pt idx="2">
                  <c:v>26.561111111111114</c:v>
                </c:pt>
                <c:pt idx="3">
                  <c:v>25.538888888888888</c:v>
                </c:pt>
                <c:pt idx="4">
                  <c:v>24.797222222222224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62-4E52-9BB4-0808600605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2417256"/>
        <c:axId val="572418696"/>
      </c:lineChart>
      <c:catAx>
        <c:axId val="572417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18696"/>
        <c:crosses val="autoZero"/>
        <c:auto val="1"/>
        <c:lblAlgn val="ctr"/>
        <c:lblOffset val="100"/>
        <c:noMultiLvlLbl val="0"/>
      </c:catAx>
      <c:valAx>
        <c:axId val="572418696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17256"/>
        <c:crosses val="autoZero"/>
        <c:crossBetween val="between"/>
      </c:valAx>
      <c:spPr>
        <a:noFill/>
        <a:ln>
          <a:solidFill>
            <a:srgbClr val="FF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Physical</a:t>
            </a:r>
            <a:r>
              <a:rPr lang="en-US" sz="2400" baseline="0"/>
              <a:t> Comparison with or without Eye-Glasses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MLX-P with glass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Exp1_bodylightskinemmisivity_6!$B$2:$B$6</c:f>
              <c:numCache>
                <c:formatCode>General</c:formatCode>
                <c:ptCount val="5"/>
                <c:pt idx="0">
                  <c:v>33.75</c:v>
                </c:pt>
                <c:pt idx="1">
                  <c:v>31.5</c:v>
                </c:pt>
                <c:pt idx="2">
                  <c:v>30.2</c:v>
                </c:pt>
                <c:pt idx="3">
                  <c:v>29.5</c:v>
                </c:pt>
                <c:pt idx="4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B-4551-BBCE-18309697CD27}"/>
            </c:ext>
          </c:extLst>
        </c:ser>
        <c:ser>
          <c:idx val="1"/>
          <c:order val="1"/>
          <c:tx>
            <c:v>MLX-P without glasses</c:v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Exp1_bodylightskinemmisivity1_7!$B$2:$B$6</c:f>
              <c:numCache>
                <c:formatCode>General</c:formatCode>
                <c:ptCount val="5"/>
                <c:pt idx="0">
                  <c:v>32.5</c:v>
                </c:pt>
                <c:pt idx="1">
                  <c:v>30.75</c:v>
                </c:pt>
                <c:pt idx="2">
                  <c:v>29.7</c:v>
                </c:pt>
                <c:pt idx="3">
                  <c:v>28.75</c:v>
                </c:pt>
                <c:pt idx="4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B-4551-BBCE-18309697CD27}"/>
            </c:ext>
          </c:extLst>
        </c:ser>
        <c:ser>
          <c:idx val="2"/>
          <c:order val="2"/>
          <c:tx>
            <c:v>RS-T10 with glasses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Exp1_bodylightskinemmisivity_6!$C$2:$C$6</c:f>
              <c:numCache>
                <c:formatCode>General</c:formatCode>
                <c:ptCount val="5"/>
                <c:pt idx="0">
                  <c:v>30.3</c:v>
                </c:pt>
                <c:pt idx="1">
                  <c:v>29.3</c:v>
                </c:pt>
                <c:pt idx="2">
                  <c:v>28.8</c:v>
                </c:pt>
                <c:pt idx="3">
                  <c:v>28.3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DB-4551-BBCE-18309697CD27}"/>
            </c:ext>
          </c:extLst>
        </c:ser>
        <c:ser>
          <c:idx val="3"/>
          <c:order val="3"/>
          <c:tx>
            <c:v>RS-T10 without glasses</c:v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Exp1_bodylightskinemmisivity1_7!$C$2:$C$6</c:f>
              <c:numCache>
                <c:formatCode>General</c:formatCode>
                <c:ptCount val="5"/>
                <c:pt idx="0">
                  <c:v>29.8</c:v>
                </c:pt>
                <c:pt idx="1">
                  <c:v>28.2</c:v>
                </c:pt>
                <c:pt idx="2">
                  <c:v>25.9</c:v>
                </c:pt>
                <c:pt idx="3">
                  <c:v>25.2</c:v>
                </c:pt>
                <c:pt idx="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DB-4551-BBCE-18309697CD27}"/>
            </c:ext>
          </c:extLst>
        </c:ser>
        <c:ser>
          <c:idx val="4"/>
          <c:order val="4"/>
          <c:tx>
            <c:v>MLX-R_with glasses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Exp1_bodylightskinemmisivity_6!$D$2:$D$6</c:f>
              <c:numCache>
                <c:formatCode>General</c:formatCode>
                <c:ptCount val="5"/>
                <c:pt idx="0">
                  <c:v>33.5</c:v>
                </c:pt>
                <c:pt idx="1">
                  <c:v>31.7</c:v>
                </c:pt>
                <c:pt idx="2">
                  <c:v>30</c:v>
                </c:pt>
                <c:pt idx="3">
                  <c:v>29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DB-4551-BBCE-18309697CD27}"/>
            </c:ext>
          </c:extLst>
        </c:ser>
        <c:ser>
          <c:idx val="5"/>
          <c:order val="5"/>
          <c:tx>
            <c:v>MLX-R Without Glasses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Exp1_bodylightskinemmisivity1_7!$D$2:$D$6</c:f>
              <c:numCache>
                <c:formatCode>General</c:formatCode>
                <c:ptCount val="5"/>
                <c:pt idx="0">
                  <c:v>32.5</c:v>
                </c:pt>
                <c:pt idx="1">
                  <c:v>30.5</c:v>
                </c:pt>
                <c:pt idx="2">
                  <c:v>30</c:v>
                </c:pt>
                <c:pt idx="3">
                  <c:v>29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DB-4551-BBCE-18309697CD27}"/>
            </c:ext>
          </c:extLst>
        </c:ser>
        <c:ser>
          <c:idx val="6"/>
          <c:order val="6"/>
          <c:tx>
            <c:v>Actual Temp of the Subject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Exp1_bodylightskinemmisivity_6!$E$2:$E$6</c:f>
              <c:numCache>
                <c:formatCode>General</c:formatCode>
                <c:ptCount val="5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DB-4551-BBCE-18309697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923768"/>
        <c:axId val="557916568"/>
      </c:lineChart>
      <c:catAx>
        <c:axId val="557923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Distance</a:t>
                </a:r>
                <a:r>
                  <a:rPr lang="en-US" sz="2400" baseline="0"/>
                  <a:t> in Metres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16568"/>
        <c:crosses val="autoZero"/>
        <c:auto val="1"/>
        <c:lblAlgn val="ctr"/>
        <c:lblOffset val="100"/>
        <c:noMultiLvlLbl val="0"/>
      </c:catAx>
      <c:valAx>
        <c:axId val="557916568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Temparature</a:t>
                </a:r>
                <a:r>
                  <a:rPr lang="en-US" sz="2400" baseline="0"/>
                  <a:t> in Degree Celsius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2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33480260294145"/>
          <c:y val="0.71824845223132916"/>
          <c:w val="0.16876323613972866"/>
          <c:h val="0.21487189953916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Comparing Body Emissivity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MLX-P Dark Skin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Exp1_Darksknlowtepartificial_10!$B$2:$B$6</c:f>
              <c:numCache>
                <c:formatCode>General</c:formatCode>
                <c:ptCount val="5"/>
                <c:pt idx="0">
                  <c:v>32.5</c:v>
                </c:pt>
                <c:pt idx="1">
                  <c:v>29.5</c:v>
                </c:pt>
                <c:pt idx="2">
                  <c:v>28.75</c:v>
                </c:pt>
                <c:pt idx="3">
                  <c:v>27.75</c:v>
                </c:pt>
                <c:pt idx="4">
                  <c:v>26.75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3-42B4-8638-8FE43D360355}"/>
            </c:ext>
          </c:extLst>
        </c:ser>
        <c:ser>
          <c:idx val="1"/>
          <c:order val="1"/>
          <c:tx>
            <c:v>MLX-P Light Skin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Exp1_lghtsknlowtempartificia_11!$B$2:$B$6</c:f>
              <c:numCache>
                <c:formatCode>General</c:formatCode>
                <c:ptCount val="5"/>
                <c:pt idx="0">
                  <c:v>32.200000000000003</c:v>
                </c:pt>
                <c:pt idx="1">
                  <c:v>30.5</c:v>
                </c:pt>
                <c:pt idx="2">
                  <c:v>29.75</c:v>
                </c:pt>
                <c:pt idx="3">
                  <c:v>28.75</c:v>
                </c:pt>
                <c:pt idx="4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3-42B4-8638-8FE43D360355}"/>
            </c:ext>
          </c:extLst>
        </c:ser>
        <c:ser>
          <c:idx val="2"/>
          <c:order val="2"/>
          <c:tx>
            <c:v>RS-T10 Dark Skin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Exp1_Darksknlowtepartificial_10!$C$2:$C$6</c:f>
              <c:numCache>
                <c:formatCode>General</c:formatCode>
                <c:ptCount val="5"/>
                <c:pt idx="0">
                  <c:v>30.4</c:v>
                </c:pt>
                <c:pt idx="1">
                  <c:v>29.6</c:v>
                </c:pt>
                <c:pt idx="2">
                  <c:v>28</c:v>
                </c:pt>
                <c:pt idx="3">
                  <c:v>26.2</c:v>
                </c:pt>
                <c:pt idx="4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3-42B4-8638-8FE43D360355}"/>
            </c:ext>
          </c:extLst>
        </c:ser>
        <c:ser>
          <c:idx val="3"/>
          <c:order val="3"/>
          <c:tx>
            <c:v>RS-T10 Light Skin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Exp1_lghtsknlowtempartificia_11!$C$2:$C$6</c:f>
              <c:numCache>
                <c:formatCode>General</c:formatCode>
                <c:ptCount val="5"/>
                <c:pt idx="0">
                  <c:v>30.1</c:v>
                </c:pt>
                <c:pt idx="1">
                  <c:v>30</c:v>
                </c:pt>
                <c:pt idx="2">
                  <c:v>28.8</c:v>
                </c:pt>
                <c:pt idx="3">
                  <c:v>27.5</c:v>
                </c:pt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A3-42B4-8638-8FE43D360355}"/>
            </c:ext>
          </c:extLst>
        </c:ser>
        <c:ser>
          <c:idx val="4"/>
          <c:order val="4"/>
          <c:tx>
            <c:v>MLX-R Dark Skin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Exp1_Darksknlowtepartificial_10!$D$2:$D$6</c:f>
              <c:numCache>
                <c:formatCode>General</c:formatCode>
                <c:ptCount val="5"/>
                <c:pt idx="0">
                  <c:v>32.25</c:v>
                </c:pt>
                <c:pt idx="1">
                  <c:v>29.75</c:v>
                </c:pt>
                <c:pt idx="2">
                  <c:v>28.75</c:v>
                </c:pt>
                <c:pt idx="3">
                  <c:v>26.2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A3-42B4-8638-8FE43D360355}"/>
            </c:ext>
          </c:extLst>
        </c:ser>
        <c:ser>
          <c:idx val="5"/>
          <c:order val="5"/>
          <c:tx>
            <c:v>MLX-R Light Skin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Exp1_lghtsknlowtempartificia_11!$D$2:$D$6</c:f>
              <c:numCache>
                <c:formatCode>General</c:formatCode>
                <c:ptCount val="5"/>
                <c:pt idx="0">
                  <c:v>31.5</c:v>
                </c:pt>
                <c:pt idx="1">
                  <c:v>29.25</c:v>
                </c:pt>
                <c:pt idx="2">
                  <c:v>28.5</c:v>
                </c:pt>
                <c:pt idx="3">
                  <c:v>28</c:v>
                </c:pt>
                <c:pt idx="4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3-42B4-8638-8FE43D360355}"/>
            </c:ext>
          </c:extLst>
        </c:ser>
        <c:ser>
          <c:idx val="6"/>
          <c:order val="6"/>
          <c:tx>
            <c:v>Actual Temp Dark Skin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Exp1_Darksknlowtepartificial_10!$E$2:$E$6</c:f>
              <c:numCache>
                <c:formatCode>General</c:formatCode>
                <c:ptCount val="5"/>
                <c:pt idx="0">
                  <c:v>35.6</c:v>
                </c:pt>
                <c:pt idx="1">
                  <c:v>35.6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A3-42B4-8638-8FE43D360355}"/>
            </c:ext>
          </c:extLst>
        </c:ser>
        <c:ser>
          <c:idx val="7"/>
          <c:order val="7"/>
          <c:tx>
            <c:v>Actual Temp Light Skin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Exp1_lghtsknlowtempartificia_11!$E$2:$E$6</c:f>
              <c:numCache>
                <c:formatCode>General</c:formatCode>
                <c:ptCount val="5"/>
                <c:pt idx="0">
                  <c:v>36.9</c:v>
                </c:pt>
                <c:pt idx="1">
                  <c:v>36.9</c:v>
                </c:pt>
                <c:pt idx="2">
                  <c:v>36.9</c:v>
                </c:pt>
                <c:pt idx="3">
                  <c:v>36.9</c:v>
                </c:pt>
                <c:pt idx="4">
                  <c:v>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A3-42B4-8638-8FE43D36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529472"/>
        <c:axId val="766527672"/>
      </c:lineChart>
      <c:catAx>
        <c:axId val="76652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Distance in</a:t>
                </a:r>
                <a:r>
                  <a:rPr lang="en-US" sz="2000" baseline="0"/>
                  <a:t> Metres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7672"/>
        <c:crosses val="autoZero"/>
        <c:auto val="1"/>
        <c:lblAlgn val="ctr"/>
        <c:lblOffset val="100"/>
        <c:noMultiLvlLbl val="0"/>
      </c:catAx>
      <c:valAx>
        <c:axId val="766527672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Temperature</a:t>
                </a:r>
                <a:r>
                  <a:rPr lang="en-US" sz="2000" baseline="0"/>
                  <a:t> in Degree Celsius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73613578669937"/>
          <c:y val="0.71924718488593331"/>
          <c:w val="0.14276454455867363"/>
          <c:h val="0.247594580251058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Illumination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MLX-P Artificial Home Illumination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Exp1_lghtsknlowtempartificia_11!$B$2:$B$6</c:f>
              <c:numCache>
                <c:formatCode>General</c:formatCode>
                <c:ptCount val="5"/>
                <c:pt idx="0">
                  <c:v>32.200000000000003</c:v>
                </c:pt>
                <c:pt idx="1">
                  <c:v>30.5</c:v>
                </c:pt>
                <c:pt idx="2">
                  <c:v>29.75</c:v>
                </c:pt>
                <c:pt idx="3">
                  <c:v>28.75</c:v>
                </c:pt>
                <c:pt idx="4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5-4F7D-8D13-66F1CD33A8C8}"/>
            </c:ext>
          </c:extLst>
        </c:ser>
        <c:ser>
          <c:idx val="1"/>
          <c:order val="1"/>
          <c:tx>
            <c:v>MLX-P Natural Home Illumination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Exp1_Lightskinlowtempnaturalh_8!$B$2:$B$6</c:f>
              <c:numCache>
                <c:formatCode>General</c:formatCode>
                <c:ptCount val="5"/>
                <c:pt idx="0">
                  <c:v>32</c:v>
                </c:pt>
                <c:pt idx="1">
                  <c:v>28.75</c:v>
                </c:pt>
                <c:pt idx="2">
                  <c:v>27.8</c:v>
                </c:pt>
                <c:pt idx="3">
                  <c:v>26.5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5-4F7D-8D13-66F1CD33A8C8}"/>
            </c:ext>
          </c:extLst>
        </c:ser>
        <c:ser>
          <c:idx val="2"/>
          <c:order val="2"/>
          <c:tx>
            <c:v>RS-T10 Artificial Home Illumination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Exp1_lghtsknlowtempartificia_11!$C$2:$C$6</c:f>
              <c:numCache>
                <c:formatCode>General</c:formatCode>
                <c:ptCount val="5"/>
                <c:pt idx="0">
                  <c:v>30.1</c:v>
                </c:pt>
                <c:pt idx="1">
                  <c:v>30</c:v>
                </c:pt>
                <c:pt idx="2">
                  <c:v>28.8</c:v>
                </c:pt>
                <c:pt idx="3">
                  <c:v>27.5</c:v>
                </c:pt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35-4F7D-8D13-66F1CD33A8C8}"/>
            </c:ext>
          </c:extLst>
        </c:ser>
        <c:ser>
          <c:idx val="3"/>
          <c:order val="3"/>
          <c:tx>
            <c:v>RS-T10 Natural Home Illumination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Exp1_Lightskinlowtempnaturalh_8!$C$2:$C$6</c:f>
              <c:numCache>
                <c:formatCode>General</c:formatCode>
                <c:ptCount val="5"/>
                <c:pt idx="0">
                  <c:v>31.6</c:v>
                </c:pt>
                <c:pt idx="1">
                  <c:v>30</c:v>
                </c:pt>
                <c:pt idx="2">
                  <c:v>29</c:v>
                </c:pt>
                <c:pt idx="3">
                  <c:v>28.2</c:v>
                </c:pt>
                <c:pt idx="4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5-4F7D-8D13-66F1CD33A8C8}"/>
            </c:ext>
          </c:extLst>
        </c:ser>
        <c:ser>
          <c:idx val="4"/>
          <c:order val="4"/>
          <c:tx>
            <c:v>MLX-R Artificial Home Illumination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Exp1_lghtsknlowtempartificia_11!$D$2:$D$6</c:f>
              <c:numCache>
                <c:formatCode>General</c:formatCode>
                <c:ptCount val="5"/>
                <c:pt idx="0">
                  <c:v>31.5</c:v>
                </c:pt>
                <c:pt idx="1">
                  <c:v>29.25</c:v>
                </c:pt>
                <c:pt idx="2">
                  <c:v>28.5</c:v>
                </c:pt>
                <c:pt idx="3">
                  <c:v>28</c:v>
                </c:pt>
                <c:pt idx="4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35-4F7D-8D13-66F1CD33A8C8}"/>
            </c:ext>
          </c:extLst>
        </c:ser>
        <c:ser>
          <c:idx val="5"/>
          <c:order val="5"/>
          <c:tx>
            <c:v>MLX-R Natural Home Illumination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Exp1_Lightskinlowtempnaturalh_8!$D$2:$D$6</c:f>
              <c:numCache>
                <c:formatCode>General</c:formatCode>
                <c:ptCount val="5"/>
                <c:pt idx="0">
                  <c:v>32</c:v>
                </c:pt>
                <c:pt idx="1">
                  <c:v>29</c:v>
                </c:pt>
                <c:pt idx="2">
                  <c:v>27.25</c:v>
                </c:pt>
                <c:pt idx="3">
                  <c:v>26.5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35-4F7D-8D13-66F1CD33A8C8}"/>
            </c:ext>
          </c:extLst>
        </c:ser>
        <c:ser>
          <c:idx val="6"/>
          <c:order val="6"/>
          <c:tx>
            <c:v>Actual Temp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Exp1_lghtsknlowtempartificia_11!$E$2:$E$6</c:f>
              <c:numCache>
                <c:formatCode>General</c:formatCode>
                <c:ptCount val="5"/>
                <c:pt idx="0">
                  <c:v>36.9</c:v>
                </c:pt>
                <c:pt idx="1">
                  <c:v>36.9</c:v>
                </c:pt>
                <c:pt idx="2">
                  <c:v>36.9</c:v>
                </c:pt>
                <c:pt idx="3">
                  <c:v>36.9</c:v>
                </c:pt>
                <c:pt idx="4">
                  <c:v>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35-4F7D-8D13-66F1CD33A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165544"/>
        <c:axId val="494170944"/>
      </c:lineChart>
      <c:catAx>
        <c:axId val="494165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Distance</a:t>
                </a:r>
                <a:r>
                  <a:rPr lang="en-US" sz="2400" baseline="0"/>
                  <a:t> in Metres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70944"/>
        <c:crosses val="autoZero"/>
        <c:auto val="1"/>
        <c:lblAlgn val="ctr"/>
        <c:lblOffset val="100"/>
        <c:noMultiLvlLbl val="0"/>
      </c:catAx>
      <c:valAx>
        <c:axId val="494170944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Temperature</a:t>
                </a:r>
                <a:r>
                  <a:rPr lang="en-US" sz="2400" baseline="0"/>
                  <a:t> in Degree Celsius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6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08322118889629"/>
          <c:y val="0.69635487275172392"/>
          <c:w val="0.18799361911309906"/>
          <c:h val="0.24718189333522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Comparison of average</a:t>
            </a:r>
            <a:r>
              <a:rPr lang="en-US" sz="2000" b="1" baseline="0"/>
              <a:t> reading of two section at different ambient temperature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169767339038888E-2"/>
          <c:y val="6.4532851249338483E-2"/>
          <c:w val="0.77146534914249054"/>
          <c:h val="0.85507009741255069"/>
        </c:manualLayout>
      </c:layout>
      <c:lineChart>
        <c:grouping val="standard"/>
        <c:varyColors val="0"/>
        <c:ser>
          <c:idx val="0"/>
          <c:order val="0"/>
          <c:tx>
            <c:v>Average reading MLX-P Experiment 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Avarageateachdistance!$B$2:$B$6</c:f>
              <c:numCache>
                <c:formatCode>General</c:formatCode>
                <c:ptCount val="5"/>
                <c:pt idx="0">
                  <c:v>29.45</c:v>
                </c:pt>
                <c:pt idx="1">
                  <c:v>25.56</c:v>
                </c:pt>
                <c:pt idx="2">
                  <c:v>23.92</c:v>
                </c:pt>
                <c:pt idx="3">
                  <c:v>22.615000000000002</c:v>
                </c:pt>
                <c:pt idx="4">
                  <c:v>22.140000000000004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7-405D-AC31-73D1A7DB455F}"/>
            </c:ext>
          </c:extLst>
        </c:ser>
        <c:ser>
          <c:idx val="2"/>
          <c:order val="1"/>
          <c:tx>
            <c:v>Average reading MLX-P Experiment 1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Exp1_averageforeachthermalcamra!$B$2:$B$6</c:f>
              <c:numCache>
                <c:formatCode>General</c:formatCode>
                <c:ptCount val="5"/>
                <c:pt idx="0">
                  <c:v>33.395454545454541</c:v>
                </c:pt>
                <c:pt idx="1">
                  <c:v>30.986363636363638</c:v>
                </c:pt>
                <c:pt idx="2">
                  <c:v>29.9</c:v>
                </c:pt>
                <c:pt idx="3">
                  <c:v>29.218181818181815</c:v>
                </c:pt>
                <c:pt idx="4">
                  <c:v>28.09545454545454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7-405D-AC31-73D1A7DB455F}"/>
            </c:ext>
          </c:extLst>
        </c:ser>
        <c:ser>
          <c:idx val="1"/>
          <c:order val="2"/>
          <c:tx>
            <c:v>average reading RS-T10 Experiment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Avarageateachdistance!$C$2:$C$6</c:f>
              <c:numCache>
                <c:formatCode>General</c:formatCode>
                <c:ptCount val="5"/>
                <c:pt idx="0">
                  <c:v>30.100000000000005</c:v>
                </c:pt>
                <c:pt idx="1">
                  <c:v>28.979999999999997</c:v>
                </c:pt>
                <c:pt idx="2">
                  <c:v>27.429999999999996</c:v>
                </c:pt>
                <c:pt idx="3">
                  <c:v>26.45</c:v>
                </c:pt>
                <c:pt idx="4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7-405D-AC31-73D1A7DB455F}"/>
            </c:ext>
          </c:extLst>
        </c:ser>
        <c:ser>
          <c:idx val="3"/>
          <c:order val="3"/>
          <c:tx>
            <c:v>average reading RS-T10 Experiment 1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Exp1_averageforeachthermalcamra!$C$2:$C$6</c:f>
              <c:numCache>
                <c:formatCode>General</c:formatCode>
                <c:ptCount val="5"/>
                <c:pt idx="0">
                  <c:v>30.872727272727275</c:v>
                </c:pt>
                <c:pt idx="1">
                  <c:v>29.445454545454549</c:v>
                </c:pt>
                <c:pt idx="2">
                  <c:v>27.65454545454546</c:v>
                </c:pt>
                <c:pt idx="3">
                  <c:v>26.309090909090909</c:v>
                </c:pt>
                <c:pt idx="4">
                  <c:v>25.34545454545454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97-405D-AC31-73D1A7DB455F}"/>
            </c:ext>
          </c:extLst>
        </c:ser>
        <c:ser>
          <c:idx val="4"/>
          <c:order val="4"/>
          <c:tx>
            <c:v>Average reading MLX-R Experiment 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Avarageateachdistance!$D$2:$D$6</c:f>
              <c:numCache>
                <c:formatCode>General</c:formatCode>
                <c:ptCount val="5"/>
                <c:pt idx="0">
                  <c:v>30.27</c:v>
                </c:pt>
                <c:pt idx="1">
                  <c:v>26.215000000000003</c:v>
                </c:pt>
                <c:pt idx="2">
                  <c:v>24.46</c:v>
                </c:pt>
                <c:pt idx="3">
                  <c:v>23.500000000000004</c:v>
                </c:pt>
                <c:pt idx="4">
                  <c:v>22.810000000000002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97-405D-AC31-73D1A7DB455F}"/>
            </c:ext>
          </c:extLst>
        </c:ser>
        <c:ser>
          <c:idx val="5"/>
          <c:order val="5"/>
          <c:tx>
            <c:v>Average reading MLX-R Experiment 1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Exp1_averageforeachthermalcamra!$D$2:$D$6</c:f>
              <c:numCache>
                <c:formatCode>General</c:formatCode>
                <c:ptCount val="5"/>
                <c:pt idx="0">
                  <c:v>32.945454545454545</c:v>
                </c:pt>
                <c:pt idx="1">
                  <c:v>30.686363636363634</c:v>
                </c:pt>
                <c:pt idx="2">
                  <c:v>29.59090909090909</c:v>
                </c:pt>
                <c:pt idx="3">
                  <c:v>28.563636363636363</c:v>
                </c:pt>
                <c:pt idx="4">
                  <c:v>28.013636363636362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97-405D-AC31-73D1A7DB4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284376"/>
        <c:axId val="610276456"/>
      </c:lineChart>
      <c:catAx>
        <c:axId val="61028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Distance in</a:t>
                </a:r>
                <a:r>
                  <a:rPr lang="en-US" sz="2000" b="1" baseline="0"/>
                  <a:t> Metres</a:t>
                </a:r>
                <a:endParaRPr lang="en-US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76456"/>
        <c:crosses val="autoZero"/>
        <c:auto val="1"/>
        <c:lblAlgn val="ctr"/>
        <c:lblOffset val="100"/>
        <c:noMultiLvlLbl val="0"/>
      </c:catAx>
      <c:valAx>
        <c:axId val="6102764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Temperature</a:t>
                </a:r>
                <a:r>
                  <a:rPr lang="en-US" sz="2000" b="1" baseline="0"/>
                  <a:t> at Degree Celcius</a:t>
                </a:r>
                <a:endParaRPr lang="en-US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8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5601413062611"/>
          <c:y val="0.77544388074735571"/>
          <c:w val="0.18943980834409954"/>
          <c:h val="0.21060989841168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Avarage</a:t>
            </a:r>
            <a:r>
              <a:rPr lang="en-US" baseline="0"/>
              <a:t> Value of </a:t>
            </a:r>
            <a:r>
              <a:rPr lang="en-US"/>
              <a:t>MLX-P at different ambient temperature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'AV_SD_MLX-P'!$B$2</c:f>
              <c:strCache>
                <c:ptCount val="1"/>
                <c:pt idx="0">
                  <c:v>MLX-P Readings at 26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'AV_SD_MLX-P'!$H$3:$H$7</c:f>
                <c:numCache>
                  <c:formatCode>General</c:formatCode>
                  <c:ptCount val="5"/>
                  <c:pt idx="0">
                    <c:v>0.875</c:v>
                  </c:pt>
                  <c:pt idx="1">
                    <c:v>0.54126587736527421</c:v>
                  </c:pt>
                  <c:pt idx="2">
                    <c:v>0.39111219617905069</c:v>
                  </c:pt>
                  <c:pt idx="3">
                    <c:v>0.62186714819163746</c:v>
                  </c:pt>
                  <c:pt idx="4">
                    <c:v>2.3712799813602774</c:v>
                  </c:pt>
                </c:numCache>
              </c:numRef>
            </c:plus>
            <c:minus>
              <c:numRef>
                <c:f>'AV_SD_MLX-P'!$H$3:$H$7</c:f>
                <c:numCache>
                  <c:formatCode>General</c:formatCode>
                  <c:ptCount val="5"/>
                  <c:pt idx="0">
                    <c:v>0.875</c:v>
                  </c:pt>
                  <c:pt idx="1">
                    <c:v>0.54126587736527421</c:v>
                  </c:pt>
                  <c:pt idx="2">
                    <c:v>0.39111219617905069</c:v>
                  </c:pt>
                  <c:pt idx="3">
                    <c:v>0.62186714819163746</c:v>
                  </c:pt>
                  <c:pt idx="4">
                    <c:v>2.3712799813602774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1">
                    <a:alpha val="91000"/>
                  </a:schemeClr>
                </a:solidFill>
                <a:round/>
              </a:ln>
              <a:effectLst/>
            </c:spPr>
          </c:errBars>
          <c:val>
            <c:numRef>
              <c:f>'AV_SD_MLX-P'!$B$3:$B$7</c:f>
              <c:numCache>
                <c:formatCode>General</c:formatCode>
                <c:ptCount val="5"/>
                <c:pt idx="0">
                  <c:v>33.875</c:v>
                </c:pt>
                <c:pt idx="1">
                  <c:v>31.5625</c:v>
                </c:pt>
                <c:pt idx="2">
                  <c:v>30.287500000000001</c:v>
                </c:pt>
                <c:pt idx="3">
                  <c:v>29.6875</c:v>
                </c:pt>
                <c:pt idx="4">
                  <c:v>28.087499999999999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5-4807-9CCF-125A407325C9}"/>
            </c:ext>
          </c:extLst>
        </c:ser>
        <c:ser>
          <c:idx val="1"/>
          <c:order val="1"/>
          <c:tx>
            <c:strRef>
              <c:f>'AV_SD_MLX-P'!$C$2</c:f>
              <c:strCache>
                <c:ptCount val="1"/>
                <c:pt idx="0">
                  <c:v>MLX-P Readings at 20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'AV_SD_MLX-P'!$I$3:$I$7</c:f>
                <c:numCache>
                  <c:formatCode>General</c:formatCode>
                  <c:ptCount val="5"/>
                  <c:pt idx="0">
                    <c:v>0.28586491565073141</c:v>
                  </c:pt>
                  <c:pt idx="1">
                    <c:v>0.63737743919909806</c:v>
                  </c:pt>
                  <c:pt idx="2">
                    <c:v>0.72489223336989872</c:v>
                  </c:pt>
                  <c:pt idx="3">
                    <c:v>0.81729355191387631</c:v>
                  </c:pt>
                  <c:pt idx="4">
                    <c:v>1.0845505981741934</c:v>
                  </c:pt>
                </c:numCache>
              </c:numRef>
            </c:plus>
            <c:minus>
              <c:numRef>
                <c:f>'AV_SD_MLX-P'!$I$3:$I$7</c:f>
                <c:numCache>
                  <c:formatCode>General</c:formatCode>
                  <c:ptCount val="5"/>
                  <c:pt idx="0">
                    <c:v>0.28586491565073141</c:v>
                  </c:pt>
                  <c:pt idx="1">
                    <c:v>0.63737743919909806</c:v>
                  </c:pt>
                  <c:pt idx="2">
                    <c:v>0.72489223336989872</c:v>
                  </c:pt>
                  <c:pt idx="3">
                    <c:v>0.81729355191387631</c:v>
                  </c:pt>
                  <c:pt idx="4">
                    <c:v>1.0845505981741934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2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'AV_SD_MLX-P'!$C$3:$C$7</c:f>
              <c:numCache>
                <c:formatCode>General</c:formatCode>
                <c:ptCount val="5"/>
                <c:pt idx="0">
                  <c:v>32.362499999999997</c:v>
                </c:pt>
                <c:pt idx="1">
                  <c:v>29.5</c:v>
                </c:pt>
                <c:pt idx="2">
                  <c:v>28.637499999999999</c:v>
                </c:pt>
                <c:pt idx="3">
                  <c:v>27.5625</c:v>
                </c:pt>
                <c:pt idx="4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5-4807-9CCF-125A407325C9}"/>
            </c:ext>
          </c:extLst>
        </c:ser>
        <c:ser>
          <c:idx val="2"/>
          <c:order val="2"/>
          <c:tx>
            <c:strRef>
              <c:f>'AV_SD_MLX-P'!$D$2</c:f>
              <c:strCache>
                <c:ptCount val="1"/>
                <c:pt idx="0">
                  <c:v>MLX-P Readings  at 16 degrees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'AV_SD_MLX-P'!$J$3:$J$7</c:f>
                <c:numCache>
                  <c:formatCode>General</c:formatCode>
                  <c:ptCount val="5"/>
                  <c:pt idx="0">
                    <c:v>0.75952287654816542</c:v>
                  </c:pt>
                  <c:pt idx="1">
                    <c:v>0.73993242934743686</c:v>
                  </c:pt>
                  <c:pt idx="2">
                    <c:v>0.3766629793329842</c:v>
                  </c:pt>
                  <c:pt idx="3">
                    <c:v>0.46904157598234281</c:v>
                  </c:pt>
                  <c:pt idx="4">
                    <c:v>0.66473679001541686</c:v>
                  </c:pt>
                </c:numCache>
              </c:numRef>
            </c:plus>
            <c:minus>
              <c:numRef>
                <c:f>'AV_SD_MLX-P'!$J$3:$J$7</c:f>
                <c:numCache>
                  <c:formatCode>General</c:formatCode>
                  <c:ptCount val="5"/>
                  <c:pt idx="0">
                    <c:v>0.75952287654816542</c:v>
                  </c:pt>
                  <c:pt idx="1">
                    <c:v>0.73993242934743686</c:v>
                  </c:pt>
                  <c:pt idx="2">
                    <c:v>0.3766629793329842</c:v>
                  </c:pt>
                  <c:pt idx="3">
                    <c:v>0.46904157598234281</c:v>
                  </c:pt>
                  <c:pt idx="4">
                    <c:v>0.66473679001541686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3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'AV_SD_MLX-P'!$D$3:$D$7</c:f>
              <c:numCache>
                <c:formatCode>General</c:formatCode>
                <c:ptCount val="5"/>
                <c:pt idx="0">
                  <c:v>29.225000000000001</c:v>
                </c:pt>
                <c:pt idx="1">
                  <c:v>25.45</c:v>
                </c:pt>
                <c:pt idx="2">
                  <c:v>23.574999999999999</c:v>
                </c:pt>
                <c:pt idx="3">
                  <c:v>22.2</c:v>
                </c:pt>
                <c:pt idx="4">
                  <c:v>21.824999999999999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5-4807-9CCF-125A4073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728232"/>
        <c:axId val="888600432"/>
      </c:lineChart>
      <c:catAx>
        <c:axId val="888728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00432"/>
        <c:crosses val="autoZero"/>
        <c:auto val="1"/>
        <c:lblAlgn val="ctr"/>
        <c:lblOffset val="100"/>
        <c:noMultiLvlLbl val="0"/>
      </c:catAx>
      <c:valAx>
        <c:axId val="888600432"/>
        <c:scaling>
          <c:orientation val="minMax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</a:t>
                </a:r>
                <a:r>
                  <a:rPr lang="en-US" sz="1600" baseline="0"/>
                  <a:t> in degree celsius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2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Values  for RS PRO T-10 at different ambient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'AV_SD_RS_T-10'!$B$2</c:f>
              <c:strCache>
                <c:ptCount val="1"/>
                <c:pt idx="0">
                  <c:v>RS PRO T-10 Readings at 26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'AV_SD_RS_T-10'!$I$3:$I$7</c:f>
                <c:numCache>
                  <c:formatCode>General</c:formatCode>
                  <c:ptCount val="5"/>
                  <c:pt idx="0">
                    <c:v>0.56789083458002754</c:v>
                  </c:pt>
                  <c:pt idx="1">
                    <c:v>0.2277608394786072</c:v>
                  </c:pt>
                  <c:pt idx="2">
                    <c:v>0.38405728739343054</c:v>
                  </c:pt>
                  <c:pt idx="3">
                    <c:v>0.88600225733346771</c:v>
                  </c:pt>
                  <c:pt idx="4">
                    <c:v>0.7084313657652378</c:v>
                  </c:pt>
                </c:numCache>
              </c:numRef>
            </c:plus>
            <c:minus>
              <c:numRef>
                <c:f>'AV_SD_RS_T-10'!$I$3:$I$7</c:f>
                <c:numCache>
                  <c:formatCode>General</c:formatCode>
                  <c:ptCount val="5"/>
                  <c:pt idx="0">
                    <c:v>0.56789083458002754</c:v>
                  </c:pt>
                  <c:pt idx="1">
                    <c:v>0.2277608394786072</c:v>
                  </c:pt>
                  <c:pt idx="2">
                    <c:v>0.38405728739343054</c:v>
                  </c:pt>
                  <c:pt idx="3">
                    <c:v>0.88600225733346771</c:v>
                  </c:pt>
                  <c:pt idx="4">
                    <c:v>0.7084313657652378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1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'AV_SD_RS_T-10'!$B$3:$B$7</c:f>
              <c:numCache>
                <c:formatCode>General</c:formatCode>
                <c:ptCount val="5"/>
                <c:pt idx="0">
                  <c:v>30.15</c:v>
                </c:pt>
                <c:pt idx="1">
                  <c:v>28.950000000000003</c:v>
                </c:pt>
                <c:pt idx="2">
                  <c:v>28.025000000000002</c:v>
                </c:pt>
                <c:pt idx="3">
                  <c:v>26.625</c:v>
                </c:pt>
                <c:pt idx="4">
                  <c:v>24.725000000000001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8-4070-AFB8-6D62CD1FE586}"/>
            </c:ext>
          </c:extLst>
        </c:ser>
        <c:ser>
          <c:idx val="1"/>
          <c:order val="1"/>
          <c:tx>
            <c:strRef>
              <c:f>'AV_SD_RS_T-10'!$C$2</c:f>
              <c:strCache>
                <c:ptCount val="1"/>
                <c:pt idx="0">
                  <c:v>RS PRO T-10 Readings at 20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'AV_SD_RS_T-10'!$I$3:$I$7</c:f>
                <c:numCache>
                  <c:formatCode>General</c:formatCode>
                  <c:ptCount val="5"/>
                  <c:pt idx="0">
                    <c:v>0.56789083458002754</c:v>
                  </c:pt>
                  <c:pt idx="1">
                    <c:v>0.2277608394786072</c:v>
                  </c:pt>
                  <c:pt idx="2">
                    <c:v>0.38405728739343054</c:v>
                  </c:pt>
                  <c:pt idx="3">
                    <c:v>0.88600225733346771</c:v>
                  </c:pt>
                  <c:pt idx="4">
                    <c:v>0.7084313657652378</c:v>
                  </c:pt>
                </c:numCache>
              </c:numRef>
            </c:plus>
            <c:minus>
              <c:numRef>
                <c:f>'AV_SD_RS_T-10'!$I$3:$I$7</c:f>
                <c:numCache>
                  <c:formatCode>General</c:formatCode>
                  <c:ptCount val="5"/>
                  <c:pt idx="0">
                    <c:v>0.56789083458002754</c:v>
                  </c:pt>
                  <c:pt idx="1">
                    <c:v>0.2277608394786072</c:v>
                  </c:pt>
                  <c:pt idx="2">
                    <c:v>0.38405728739343054</c:v>
                  </c:pt>
                  <c:pt idx="3">
                    <c:v>0.88600225733346771</c:v>
                  </c:pt>
                  <c:pt idx="4">
                    <c:v>0.7084313657652378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2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'AV_SD_RS_T-10'!$C$3:$C$7</c:f>
              <c:numCache>
                <c:formatCode>General</c:formatCode>
                <c:ptCount val="5"/>
                <c:pt idx="0">
                  <c:v>30.75</c:v>
                </c:pt>
                <c:pt idx="1">
                  <c:v>29.774999999999999</c:v>
                </c:pt>
                <c:pt idx="2">
                  <c:v>28.65</c:v>
                </c:pt>
                <c:pt idx="3">
                  <c:v>27.6</c:v>
                </c:pt>
                <c:pt idx="4">
                  <c:v>27.475000000000001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8-4070-AFB8-6D62CD1FE586}"/>
            </c:ext>
          </c:extLst>
        </c:ser>
        <c:ser>
          <c:idx val="2"/>
          <c:order val="2"/>
          <c:tx>
            <c:strRef>
              <c:f>'AV_SD_RS_T-10'!$D$2</c:f>
              <c:strCache>
                <c:ptCount val="1"/>
                <c:pt idx="0">
                  <c:v>RS PRO T-10 Readings  at 16 degrees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'AV_SD_RS_T-10'!$J$3:$J$7</c:f>
                <c:numCache>
                  <c:formatCode>General</c:formatCode>
                  <c:ptCount val="5"/>
                  <c:pt idx="0">
                    <c:v>0.2872281323269012</c:v>
                  </c:pt>
                  <c:pt idx="1">
                    <c:v>0.40233692348577749</c:v>
                  </c:pt>
                  <c:pt idx="2">
                    <c:v>1.8471261462065869</c:v>
                  </c:pt>
                  <c:pt idx="3">
                    <c:v>1.2051970793193951</c:v>
                  </c:pt>
                  <c:pt idx="4">
                    <c:v>1.0280442597476047</c:v>
                  </c:pt>
                </c:numCache>
              </c:numRef>
            </c:plus>
            <c:minus>
              <c:numRef>
                <c:f>'AV_SD_RS_T-10'!$J$3:$J$7</c:f>
                <c:numCache>
                  <c:formatCode>General</c:formatCode>
                  <c:ptCount val="5"/>
                  <c:pt idx="0">
                    <c:v>0.2872281323269012</c:v>
                  </c:pt>
                  <c:pt idx="1">
                    <c:v>0.40233692348577749</c:v>
                  </c:pt>
                  <c:pt idx="2">
                    <c:v>1.8471261462065869</c:v>
                  </c:pt>
                  <c:pt idx="3">
                    <c:v>1.2051970793193951</c:v>
                  </c:pt>
                  <c:pt idx="4">
                    <c:v>1.0280442597476047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3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'AV_SD_RS_T-10'!$D$3:$D$7</c:f>
              <c:numCache>
                <c:formatCode>General</c:formatCode>
                <c:ptCount val="5"/>
                <c:pt idx="0">
                  <c:v>29.95</c:v>
                </c:pt>
                <c:pt idx="1">
                  <c:v>29.175000000000001</c:v>
                </c:pt>
                <c:pt idx="2">
                  <c:v>27.075000000000003</c:v>
                </c:pt>
                <c:pt idx="3">
                  <c:v>25.95</c:v>
                </c:pt>
                <c:pt idx="4">
                  <c:v>25.125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8-4070-AFB8-6D62CD1F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604032"/>
        <c:axId val="888605112"/>
      </c:lineChart>
      <c:catAx>
        <c:axId val="88860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05112"/>
        <c:crosses val="autoZero"/>
        <c:auto val="1"/>
        <c:lblAlgn val="ctr"/>
        <c:lblOffset val="100"/>
        <c:noMultiLvlLbl val="0"/>
      </c:catAx>
      <c:valAx>
        <c:axId val="888605112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0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Values  for MLX-R-10 at different ambient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'AV_SD_MLX-R'!$B$2</c:f>
              <c:strCache>
                <c:ptCount val="1"/>
                <c:pt idx="0">
                  <c:v> MLX-R-10 Readings at 26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'AV_SD_MLX-R'!$H$3:$H$7</c:f>
                <c:numCache>
                  <c:formatCode>General</c:formatCode>
                  <c:ptCount val="5"/>
                  <c:pt idx="0">
                    <c:v>0.40983990776887502</c:v>
                  </c:pt>
                  <c:pt idx="1">
                    <c:v>0.51886293951293139</c:v>
                  </c:pt>
                  <c:pt idx="2">
                    <c:v>0.125</c:v>
                  </c:pt>
                  <c:pt idx="3">
                    <c:v>0.30618621784789724</c:v>
                  </c:pt>
                  <c:pt idx="4">
                    <c:v>2.4011715890373182</c:v>
                  </c:pt>
                </c:numCache>
              </c:numRef>
            </c:plus>
            <c:minus>
              <c:numRef>
                <c:f>'AV_SD_MLX-R'!$H$3:$H$7</c:f>
                <c:numCache>
                  <c:formatCode>General</c:formatCode>
                  <c:ptCount val="5"/>
                  <c:pt idx="0">
                    <c:v>0.40983990776887502</c:v>
                  </c:pt>
                  <c:pt idx="1">
                    <c:v>0.51886293951293139</c:v>
                  </c:pt>
                  <c:pt idx="2">
                    <c:v>0.125</c:v>
                  </c:pt>
                  <c:pt idx="3">
                    <c:v>0.30618621784789724</c:v>
                  </c:pt>
                  <c:pt idx="4">
                    <c:v>2.4011715890373182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1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'AV_SD_MLX-R'!$B$3:$B$7</c:f>
              <c:numCache>
                <c:formatCode>General</c:formatCode>
                <c:ptCount val="5"/>
                <c:pt idx="0">
                  <c:v>33.1875</c:v>
                </c:pt>
                <c:pt idx="1">
                  <c:v>31.237500000000001</c:v>
                </c:pt>
                <c:pt idx="2">
                  <c:v>30.125</c:v>
                </c:pt>
                <c:pt idx="3">
                  <c:v>29.25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F-4C0B-8953-EF2C9C800592}"/>
            </c:ext>
          </c:extLst>
        </c:ser>
        <c:ser>
          <c:idx val="1"/>
          <c:order val="1"/>
          <c:tx>
            <c:strRef>
              <c:f>'AV_SD_MLX-R'!$C$2</c:f>
              <c:strCache>
                <c:ptCount val="1"/>
                <c:pt idx="0">
                  <c:v> MLX-R-10 Readings at 20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'AV_SD_MLX-R'!$I$3:$I$7</c:f>
                <c:numCache>
                  <c:formatCode>General</c:formatCode>
                  <c:ptCount val="5"/>
                  <c:pt idx="0">
                    <c:v>0.3247595264191645</c:v>
                  </c:pt>
                  <c:pt idx="1">
                    <c:v>0.45069390943299864</c:v>
                  </c:pt>
                  <c:pt idx="2">
                    <c:v>0.58630196997792872</c:v>
                  </c:pt>
                  <c:pt idx="3">
                    <c:v>0.68328251843582266</c:v>
                  </c:pt>
                  <c:pt idx="4">
                    <c:v>0.94165744833246023</c:v>
                  </c:pt>
                </c:numCache>
              </c:numRef>
            </c:plus>
            <c:minus>
              <c:numRef>
                <c:f>'AV_SD_MLX-R'!$I$3:$I$7</c:f>
                <c:numCache>
                  <c:formatCode>General</c:formatCode>
                  <c:ptCount val="5"/>
                  <c:pt idx="0">
                    <c:v>0.3247595264191645</c:v>
                  </c:pt>
                  <c:pt idx="1">
                    <c:v>0.45069390943299864</c:v>
                  </c:pt>
                  <c:pt idx="2">
                    <c:v>0.58630196997792872</c:v>
                  </c:pt>
                  <c:pt idx="3">
                    <c:v>0.68328251843582266</c:v>
                  </c:pt>
                  <c:pt idx="4">
                    <c:v>0.94165744833246023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2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'AV_SD_MLX-R'!$C$3:$C$7</c:f>
              <c:numCache>
                <c:formatCode>General</c:formatCode>
                <c:ptCount val="5"/>
                <c:pt idx="0">
                  <c:v>31.8125</c:v>
                </c:pt>
                <c:pt idx="1">
                  <c:v>29.125</c:v>
                </c:pt>
                <c:pt idx="2">
                  <c:v>28.25</c:v>
                </c:pt>
                <c:pt idx="3">
                  <c:v>26.925000000000001</c:v>
                </c:pt>
                <c:pt idx="4">
                  <c:v>26.4375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F-4C0B-8953-EF2C9C800592}"/>
            </c:ext>
          </c:extLst>
        </c:ser>
        <c:ser>
          <c:idx val="2"/>
          <c:order val="2"/>
          <c:tx>
            <c:strRef>
              <c:f>'AV_SD_MLX-R'!$D$2</c:f>
              <c:strCache>
                <c:ptCount val="1"/>
                <c:pt idx="0">
                  <c:v> MLX-R-10 Readings  at 16 degrees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'AV_SD_MLX-R'!$J$3:$J$7</c:f>
                <c:numCache>
                  <c:formatCode>General</c:formatCode>
                  <c:ptCount val="5"/>
                  <c:pt idx="0">
                    <c:v>0.8926785535678563</c:v>
                  </c:pt>
                  <c:pt idx="1">
                    <c:v>0.86421930087218068</c:v>
                  </c:pt>
                  <c:pt idx="2">
                    <c:v>0.57662812973353994</c:v>
                  </c:pt>
                  <c:pt idx="3">
                    <c:v>1.2062338081814814</c:v>
                  </c:pt>
                  <c:pt idx="4">
                    <c:v>0.70710678118654757</c:v>
                  </c:pt>
                </c:numCache>
              </c:numRef>
            </c:plus>
            <c:minus>
              <c:numRef>
                <c:f>'AV_SD_MLX-R'!$J$3:$J$7</c:f>
                <c:numCache>
                  <c:formatCode>General</c:formatCode>
                  <c:ptCount val="5"/>
                  <c:pt idx="0">
                    <c:v>0.8926785535678563</c:v>
                  </c:pt>
                  <c:pt idx="1">
                    <c:v>0.86421930087218068</c:v>
                  </c:pt>
                  <c:pt idx="2">
                    <c:v>0.57662812973353994</c:v>
                  </c:pt>
                  <c:pt idx="3">
                    <c:v>1.2062338081814814</c:v>
                  </c:pt>
                  <c:pt idx="4">
                    <c:v>0.70710678118654757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3">
                    <a:alpha val="95000"/>
                  </a:schemeClr>
                </a:solidFill>
                <a:round/>
              </a:ln>
              <a:effectLst/>
            </c:spPr>
          </c:errBars>
          <c:val>
            <c:numRef>
              <c:f>'AV_SD_MLX-R'!$D$3:$D$7</c:f>
              <c:numCache>
                <c:formatCode>General</c:formatCode>
                <c:ptCount val="5"/>
                <c:pt idx="0">
                  <c:v>30.125</c:v>
                </c:pt>
                <c:pt idx="1">
                  <c:v>26.074999999999999</c:v>
                </c:pt>
                <c:pt idx="2">
                  <c:v>23.95</c:v>
                </c:pt>
                <c:pt idx="3">
                  <c:v>22.6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F-4C0B-8953-EF2C9C800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860920"/>
        <c:axId val="786866680"/>
      </c:lineChart>
      <c:catAx>
        <c:axId val="786860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66680"/>
        <c:crosses val="autoZero"/>
        <c:auto val="1"/>
        <c:lblAlgn val="ctr"/>
        <c:lblOffset val="100"/>
        <c:noMultiLvlLbl val="0"/>
      </c:catAx>
      <c:valAx>
        <c:axId val="78686668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Temparature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6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Average reading</a:t>
            </a:r>
            <a:r>
              <a:rPr lang="en-US" sz="2000" baseline="0"/>
              <a:t> at different ambient temperature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'AV_SD_MLX-P'!$B$2</c:f>
              <c:strCache>
                <c:ptCount val="1"/>
                <c:pt idx="0">
                  <c:v>MLX-P Readings at 26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'AV_SD_MLX-P'!$B$3:$B$7</c:f>
              <c:numCache>
                <c:formatCode>General</c:formatCode>
                <c:ptCount val="5"/>
                <c:pt idx="0">
                  <c:v>33.875</c:v>
                </c:pt>
                <c:pt idx="1">
                  <c:v>31.5625</c:v>
                </c:pt>
                <c:pt idx="2">
                  <c:v>30.287500000000001</c:v>
                </c:pt>
                <c:pt idx="3">
                  <c:v>29.6875</c:v>
                </c:pt>
                <c:pt idx="4">
                  <c:v>28.087499999999999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6D-4454-A25D-E74090541953}"/>
            </c:ext>
          </c:extLst>
        </c:ser>
        <c:ser>
          <c:idx val="1"/>
          <c:order val="1"/>
          <c:tx>
            <c:strRef>
              <c:f>'AV_SD_MLX-P'!$C$2</c:f>
              <c:strCache>
                <c:ptCount val="1"/>
                <c:pt idx="0">
                  <c:v>MLX-P Readings at 20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'AV_SD_MLX-P'!$C$3:$C$7</c:f>
              <c:numCache>
                <c:formatCode>General</c:formatCode>
                <c:ptCount val="5"/>
                <c:pt idx="0">
                  <c:v>32.362499999999997</c:v>
                </c:pt>
                <c:pt idx="1">
                  <c:v>29.5</c:v>
                </c:pt>
                <c:pt idx="2">
                  <c:v>28.637499999999999</c:v>
                </c:pt>
                <c:pt idx="3">
                  <c:v>27.5625</c:v>
                </c:pt>
                <c:pt idx="4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F6D-4454-A25D-E74090541953}"/>
            </c:ext>
          </c:extLst>
        </c:ser>
        <c:ser>
          <c:idx val="2"/>
          <c:order val="2"/>
          <c:tx>
            <c:strRef>
              <c:f>'AV_SD_MLX-P'!$D$2</c:f>
              <c:strCache>
                <c:ptCount val="1"/>
                <c:pt idx="0">
                  <c:v>MLX-P Readings  at 16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'AV_SD_MLX-P'!$D$3:$D$7</c:f>
              <c:numCache>
                <c:formatCode>General</c:formatCode>
                <c:ptCount val="5"/>
                <c:pt idx="0">
                  <c:v>29.225000000000001</c:v>
                </c:pt>
                <c:pt idx="1">
                  <c:v>25.45</c:v>
                </c:pt>
                <c:pt idx="2">
                  <c:v>23.574999999999999</c:v>
                </c:pt>
                <c:pt idx="3">
                  <c:v>22.2</c:v>
                </c:pt>
                <c:pt idx="4">
                  <c:v>21.824999999999999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6D-4454-A25D-E74090541953}"/>
            </c:ext>
          </c:extLst>
        </c:ser>
        <c:ser>
          <c:idx val="3"/>
          <c:order val="3"/>
          <c:tx>
            <c:strRef>
              <c:f>'AV_SD_RS_T-10'!$B$2</c:f>
              <c:strCache>
                <c:ptCount val="1"/>
                <c:pt idx="0">
                  <c:v>RS PRO T-10 Readings at 26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'AV_SD_RS_T-10'!$B$3:$B$7</c:f>
              <c:numCache>
                <c:formatCode>General</c:formatCode>
                <c:ptCount val="5"/>
                <c:pt idx="0">
                  <c:v>30.15</c:v>
                </c:pt>
                <c:pt idx="1">
                  <c:v>28.950000000000003</c:v>
                </c:pt>
                <c:pt idx="2">
                  <c:v>28.025000000000002</c:v>
                </c:pt>
                <c:pt idx="3">
                  <c:v>26.625</c:v>
                </c:pt>
                <c:pt idx="4">
                  <c:v>24.725000000000001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6D-4454-A25D-E74090541953}"/>
            </c:ext>
          </c:extLst>
        </c:ser>
        <c:ser>
          <c:idx val="4"/>
          <c:order val="4"/>
          <c:tx>
            <c:strRef>
              <c:f>'AV_SD_RS_T-10'!$C$2</c:f>
              <c:strCache>
                <c:ptCount val="1"/>
                <c:pt idx="0">
                  <c:v>RS PRO T-10 Readings at 20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'AV_SD_RS_T-10'!$C$3:$C$7</c:f>
              <c:numCache>
                <c:formatCode>General</c:formatCode>
                <c:ptCount val="5"/>
                <c:pt idx="0">
                  <c:v>30.75</c:v>
                </c:pt>
                <c:pt idx="1">
                  <c:v>29.774999999999999</c:v>
                </c:pt>
                <c:pt idx="2">
                  <c:v>28.65</c:v>
                </c:pt>
                <c:pt idx="3">
                  <c:v>27.6</c:v>
                </c:pt>
                <c:pt idx="4">
                  <c:v>27.475000000000001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F6D-4454-A25D-E74090541953}"/>
            </c:ext>
          </c:extLst>
        </c:ser>
        <c:ser>
          <c:idx val="5"/>
          <c:order val="5"/>
          <c:tx>
            <c:strRef>
              <c:f>'AV_SD_RS_T-10'!$D$2</c:f>
              <c:strCache>
                <c:ptCount val="1"/>
                <c:pt idx="0">
                  <c:v>RS PRO T-10 Readings  at 16 degrees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'AV_SD_RS_T-10'!$D$3:$D$7</c:f>
              <c:numCache>
                <c:formatCode>General</c:formatCode>
                <c:ptCount val="5"/>
                <c:pt idx="0">
                  <c:v>29.95</c:v>
                </c:pt>
                <c:pt idx="1">
                  <c:v>29.175000000000001</c:v>
                </c:pt>
                <c:pt idx="2">
                  <c:v>27.075000000000003</c:v>
                </c:pt>
                <c:pt idx="3">
                  <c:v>25.95</c:v>
                </c:pt>
                <c:pt idx="4">
                  <c:v>25.125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F6D-4454-A25D-E74090541953}"/>
            </c:ext>
          </c:extLst>
        </c:ser>
        <c:ser>
          <c:idx val="6"/>
          <c:order val="6"/>
          <c:tx>
            <c:strRef>
              <c:f>'AV_SD_MLX-R'!$B$2</c:f>
              <c:strCache>
                <c:ptCount val="1"/>
                <c:pt idx="0">
                  <c:v> MLX-R-10 Readings at 26 degrees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'AV_SD_MLX-R'!$B$3:$B$7</c:f>
              <c:numCache>
                <c:formatCode>General</c:formatCode>
                <c:ptCount val="5"/>
                <c:pt idx="0">
                  <c:v>33.1875</c:v>
                </c:pt>
                <c:pt idx="1">
                  <c:v>31.237500000000001</c:v>
                </c:pt>
                <c:pt idx="2">
                  <c:v>30.125</c:v>
                </c:pt>
                <c:pt idx="3">
                  <c:v>29.25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F6D-4454-A25D-E74090541953}"/>
            </c:ext>
          </c:extLst>
        </c:ser>
        <c:ser>
          <c:idx val="7"/>
          <c:order val="7"/>
          <c:tx>
            <c:strRef>
              <c:f>'AV_SD_MLX-R'!$C$2</c:f>
              <c:strCache>
                <c:ptCount val="1"/>
                <c:pt idx="0">
                  <c:v> MLX-R-10 Readings at 20 Degrees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'AV_SD_MLX-R'!$C$3:$C$7</c:f>
              <c:numCache>
                <c:formatCode>General</c:formatCode>
                <c:ptCount val="5"/>
                <c:pt idx="0">
                  <c:v>31.8125</c:v>
                </c:pt>
                <c:pt idx="1">
                  <c:v>29.125</c:v>
                </c:pt>
                <c:pt idx="2">
                  <c:v>28.25</c:v>
                </c:pt>
                <c:pt idx="3">
                  <c:v>26.925000000000001</c:v>
                </c:pt>
                <c:pt idx="4">
                  <c:v>26.4375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F6D-4454-A25D-E74090541953}"/>
            </c:ext>
          </c:extLst>
        </c:ser>
        <c:ser>
          <c:idx val="8"/>
          <c:order val="8"/>
          <c:tx>
            <c:strRef>
              <c:f>'AV_SD_MLX-R'!$D$2</c:f>
              <c:strCache>
                <c:ptCount val="1"/>
                <c:pt idx="0">
                  <c:v> MLX-R-10 Readings  at 16 degrees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'AV_SD_MLX-R'!$D$3:$D$7</c:f>
              <c:numCache>
                <c:formatCode>General</c:formatCode>
                <c:ptCount val="5"/>
                <c:pt idx="0">
                  <c:v>30.125</c:v>
                </c:pt>
                <c:pt idx="1">
                  <c:v>26.074999999999999</c:v>
                </c:pt>
                <c:pt idx="2">
                  <c:v>23.95</c:v>
                </c:pt>
                <c:pt idx="3">
                  <c:v>22.6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F6D-4454-A25D-E7409054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621312"/>
        <c:axId val="888618792"/>
      </c:lineChart>
      <c:catAx>
        <c:axId val="88862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18792"/>
        <c:crosses val="autoZero"/>
        <c:auto val="1"/>
        <c:lblAlgn val="ctr"/>
        <c:lblOffset val="100"/>
        <c:noMultiLvlLbl val="0"/>
      </c:catAx>
      <c:valAx>
        <c:axId val="8886187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Temperature</a:t>
                </a:r>
                <a:r>
                  <a:rPr lang="en-US" sz="1800" baseline="0"/>
                  <a:t> in Degree Celsius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90488</xdr:colOff>
      <xdr:row>12</xdr:row>
      <xdr:rowOff>4763</xdr:rowOff>
    </xdr:from>
    <xdr:to>
      <xdr:col>5</xdr:col>
      <xdr:colOff>728665</xdr:colOff>
      <xdr:row>42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362E0D-CCDB-E1C7-EE55-35F9D070B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1000126</xdr:colOff>
      <xdr:row>12</xdr:row>
      <xdr:rowOff>147638</xdr:rowOff>
    </xdr:from>
    <xdr:to>
      <xdr:col>7</xdr:col>
      <xdr:colOff>280989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AB3FC-6109-3FAE-5BB3-0844F64B8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0.12475</cdr:x>
      <cdr:y>0.13166</cdr:y>
    </cdr:from>
    <cdr:to>
      <cdr:x>0.79894</cdr:x>
      <cdr:y>0.17328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74E6B3B-F9A6-E6F4-2C89-426190F43FFA}"/>
            </a:ext>
          </a:extLst>
        </cdr:cNvPr>
        <cdr:cNvSpPr txBox="1"/>
      </cdr:nvSpPr>
      <cdr:spPr>
        <a:xfrm xmlns:a="http://schemas.openxmlformats.org/drawingml/2006/main">
          <a:off x="895350" y="647700"/>
          <a:ext cx="4838700" cy="204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0.10219</cdr:x>
      <cdr:y>0.8393</cdr:y>
    </cdr:from>
    <cdr:to>
      <cdr:x>0.9217</cdr:x>
      <cdr:y>0.87609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1396C1-5BA8-DBD4-8129-D25A518F9017}"/>
            </a:ext>
          </a:extLst>
        </cdr:cNvPr>
        <cdr:cNvSpPr txBox="1"/>
      </cdr:nvSpPr>
      <cdr:spPr>
        <a:xfrm xmlns:a="http://schemas.openxmlformats.org/drawingml/2006/main">
          <a:off x="733424" y="4129087"/>
          <a:ext cx="5881688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10</xdr:row>
      <xdr:rowOff>171451</xdr:rowOff>
    </xdr:from>
    <xdr:to>
      <xdr:col>6</xdr:col>
      <xdr:colOff>242888</xdr:colOff>
      <xdr:row>39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1554A-E045-AAF9-A8E4-5677368FC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138113</xdr:colOff>
      <xdr:row>14</xdr:row>
      <xdr:rowOff>11906</xdr:rowOff>
    </xdr:from>
    <xdr:to>
      <xdr:col>5</xdr:col>
      <xdr:colOff>547687</xdr:colOff>
      <xdr:row>45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34869-BB27-775A-842E-D6EA0ABEE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12</xdr:row>
      <xdr:rowOff>171450</xdr:rowOff>
    </xdr:from>
    <xdr:to>
      <xdr:col>6</xdr:col>
      <xdr:colOff>509587</xdr:colOff>
      <xdr:row>44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8F7B6-5500-8462-BFE7-68F663825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369092</xdr:colOff>
      <xdr:row>12</xdr:row>
      <xdr:rowOff>169067</xdr:rowOff>
    </xdr:from>
    <xdr:to>
      <xdr:col>5</xdr:col>
      <xdr:colOff>147637</xdr:colOff>
      <xdr:row>45</xdr:row>
      <xdr:rowOff>147638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2E44E7-7A35-5895-547C-EAD7F2D7B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14</xdr:row>
      <xdr:rowOff>173830</xdr:rowOff>
    </xdr:from>
    <xdr:to>
      <xdr:col>6</xdr:col>
      <xdr:colOff>671512</xdr:colOff>
      <xdr:row>44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00F61-68E6-8917-7147-A92053FCE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226218</xdr:colOff>
      <xdr:row>14</xdr:row>
      <xdr:rowOff>100013</xdr:rowOff>
    </xdr:from>
    <xdr:to>
      <xdr:col>6</xdr:col>
      <xdr:colOff>838201</xdr:colOff>
      <xdr:row>47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35633-A46A-7D74-F904-5D039F8E7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438151</xdr:colOff>
      <xdr:row>15</xdr:row>
      <xdr:rowOff>169067</xdr:rowOff>
    </xdr:from>
    <xdr:to>
      <xdr:col>6</xdr:col>
      <xdr:colOff>1209675</xdr:colOff>
      <xdr:row>43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547D4-5BE0-6D16-59CA-9E313C044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678654</xdr:colOff>
      <xdr:row>16</xdr:row>
      <xdr:rowOff>2381</xdr:rowOff>
    </xdr:from>
    <xdr:to>
      <xdr:col>6</xdr:col>
      <xdr:colOff>1847850</xdr:colOff>
      <xdr:row>44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3B3C07-CBC8-E162-AF65-2835CF7AF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340516</xdr:colOff>
      <xdr:row>14</xdr:row>
      <xdr:rowOff>173831</xdr:rowOff>
    </xdr:from>
    <xdr:to>
      <xdr:col>6</xdr:col>
      <xdr:colOff>1195386</xdr:colOff>
      <xdr:row>46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6E135-9506-AF73-97F1-7520901FB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376238</xdr:colOff>
      <xdr:row>17</xdr:row>
      <xdr:rowOff>21428</xdr:rowOff>
    </xdr:from>
    <xdr:to>
      <xdr:col>9</xdr:col>
      <xdr:colOff>438150</xdr:colOff>
      <xdr:row>57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9CCFC-1055-DEDE-7081-43290A072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1047751</xdr:colOff>
      <xdr:row>15</xdr:row>
      <xdr:rowOff>54766</xdr:rowOff>
    </xdr:from>
    <xdr:to>
      <xdr:col>9</xdr:col>
      <xdr:colOff>28576</xdr:colOff>
      <xdr:row>46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01245-220D-DA10-ECCD-ADE4769AF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821529</xdr:colOff>
      <xdr:row>16</xdr:row>
      <xdr:rowOff>150016</xdr:rowOff>
    </xdr:from>
    <xdr:to>
      <xdr:col>9</xdr:col>
      <xdr:colOff>466723</xdr:colOff>
      <xdr:row>52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616F5-4B84-AACC-C890-F87C8BAD0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476248</xdr:colOff>
      <xdr:row>7</xdr:row>
      <xdr:rowOff>64291</xdr:rowOff>
    </xdr:from>
    <xdr:to>
      <xdr:col>15</xdr:col>
      <xdr:colOff>319086</xdr:colOff>
      <xdr:row>54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350FA-C3B6-86F9-F4DE-53C5EDB38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1631154</xdr:colOff>
      <xdr:row>8</xdr:row>
      <xdr:rowOff>83343</xdr:rowOff>
    </xdr:from>
    <xdr:to>
      <xdr:col>11</xdr:col>
      <xdr:colOff>400049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EA8D9-8146-194D-8B1A-1866831BB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473867</xdr:colOff>
      <xdr:row>9</xdr:row>
      <xdr:rowOff>69055</xdr:rowOff>
    </xdr:from>
    <xdr:to>
      <xdr:col>10</xdr:col>
      <xdr:colOff>323850</xdr:colOff>
      <xdr:row>40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41B7C-4DB6-B4DB-EAD0-2A539574E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69056</xdr:colOff>
      <xdr:row>9</xdr:row>
      <xdr:rowOff>166687</xdr:rowOff>
    </xdr:from>
    <xdr:to>
      <xdr:col>2</xdr:col>
      <xdr:colOff>1485900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AAC6F-241E-400F-DE1E-B4D7B30FA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2382</xdr:colOff>
      <xdr:row>9</xdr:row>
      <xdr:rowOff>161924</xdr:rowOff>
    </xdr:from>
    <xdr:to>
      <xdr:col>8</xdr:col>
      <xdr:colOff>1</xdr:colOff>
      <xdr:row>29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F5F0D-79EE-1F87-AB11-5C113925C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50006</xdr:colOff>
      <xdr:row>9</xdr:row>
      <xdr:rowOff>152401</xdr:rowOff>
    </xdr:from>
    <xdr:to>
      <xdr:col>11</xdr:col>
      <xdr:colOff>200025</xdr:colOff>
      <xdr:row>29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443A30-3FEB-04A4-A562-6274AACF0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347662</xdr:colOff>
      <xdr:row>11</xdr:row>
      <xdr:rowOff>38099</xdr:rowOff>
    </xdr:from>
    <xdr:to>
      <xdr:col>9</xdr:col>
      <xdr:colOff>757237</xdr:colOff>
      <xdr:row>54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00575A-B75D-3E43-45A4-38E7D016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500064</xdr:colOff>
      <xdr:row>14</xdr:row>
      <xdr:rowOff>140492</xdr:rowOff>
    </xdr:from>
    <xdr:to>
      <xdr:col>6</xdr:col>
      <xdr:colOff>104776</xdr:colOff>
      <xdr:row>42</xdr:row>
      <xdr:rowOff>119061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B71DE-CF92-4059-B2EE-8BF93D1D1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821529</xdr:colOff>
      <xdr:row>14</xdr:row>
      <xdr:rowOff>35719</xdr:rowOff>
    </xdr:from>
    <xdr:to>
      <xdr:col>6</xdr:col>
      <xdr:colOff>919162</xdr:colOff>
      <xdr:row>39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6F7EF-E6E3-4BEC-A6A7-C157DB494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697706</xdr:colOff>
      <xdr:row>16</xdr:row>
      <xdr:rowOff>92867</xdr:rowOff>
    </xdr:from>
    <xdr:to>
      <xdr:col>6</xdr:col>
      <xdr:colOff>509588</xdr:colOff>
      <xdr:row>45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09B08-616C-49E1-BF71-EB6B0316D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769141</xdr:colOff>
      <xdr:row>15</xdr:row>
      <xdr:rowOff>169066</xdr:rowOff>
    </xdr:from>
    <xdr:to>
      <xdr:col>6</xdr:col>
      <xdr:colOff>238125</xdr:colOff>
      <xdr:row>45</xdr:row>
      <xdr:rowOff>157161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032BE7-0593-409C-9B11-1C71A06D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1183479</xdr:colOff>
      <xdr:row>16</xdr:row>
      <xdr:rowOff>107154</xdr:rowOff>
    </xdr:from>
    <xdr:to>
      <xdr:col>6</xdr:col>
      <xdr:colOff>585786</xdr:colOff>
      <xdr:row>45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285A-1E84-4C25-9E44-855C5E95B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16</xdr:row>
      <xdr:rowOff>178592</xdr:rowOff>
    </xdr:from>
    <xdr:to>
      <xdr:col>6</xdr:col>
      <xdr:colOff>595313</xdr:colOff>
      <xdr:row>48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8515C-C2BF-48D6-862B-5FED1169F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973930</xdr:colOff>
      <xdr:row>16</xdr:row>
      <xdr:rowOff>2380</xdr:rowOff>
    </xdr:from>
    <xdr:to>
      <xdr:col>6</xdr:col>
      <xdr:colOff>538162</xdr:colOff>
      <xdr:row>43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C9435-26A2-4667-AB44-68BDF632A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18</xdr:row>
      <xdr:rowOff>92868</xdr:rowOff>
    </xdr:from>
    <xdr:to>
      <xdr:col>6</xdr:col>
      <xdr:colOff>200025</xdr:colOff>
      <xdr:row>46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27496-D9BF-495F-8D93-DC93C5303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969167</xdr:colOff>
      <xdr:row>17</xdr:row>
      <xdr:rowOff>111918</xdr:rowOff>
    </xdr:from>
    <xdr:to>
      <xdr:col>6</xdr:col>
      <xdr:colOff>852487</xdr:colOff>
      <xdr:row>47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5CE1D-8328-4113-9854-54BAFEA5C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731042</xdr:colOff>
      <xdr:row>16</xdr:row>
      <xdr:rowOff>154780</xdr:rowOff>
    </xdr:from>
    <xdr:to>
      <xdr:col>6</xdr:col>
      <xdr:colOff>228599</xdr:colOff>
      <xdr:row>43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56183-62A4-42B8-BDF2-9C70C3929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1090613</xdr:colOff>
      <xdr:row>20</xdr:row>
      <xdr:rowOff>54769</xdr:rowOff>
    </xdr:from>
    <xdr:to>
      <xdr:col>5</xdr:col>
      <xdr:colOff>1143000</xdr:colOff>
      <xdr:row>50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DCF90-0CEE-4AA2-B7ED-E5B38FD2E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859629</xdr:colOff>
      <xdr:row>19</xdr:row>
      <xdr:rowOff>145255</xdr:rowOff>
    </xdr:from>
    <xdr:to>
      <xdr:col>5</xdr:col>
      <xdr:colOff>947736</xdr:colOff>
      <xdr:row>47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729D4-1080-4F2B-BD1D-18D8C36AB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1426366</xdr:colOff>
      <xdr:row>17</xdr:row>
      <xdr:rowOff>135728</xdr:rowOff>
    </xdr:from>
    <xdr:to>
      <xdr:col>5</xdr:col>
      <xdr:colOff>914399</xdr:colOff>
      <xdr:row>46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2A842-652F-4D9D-AA42-B7436E903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707229</xdr:colOff>
      <xdr:row>9</xdr:row>
      <xdr:rowOff>159542</xdr:rowOff>
    </xdr:from>
    <xdr:to>
      <xdr:col>13</xdr:col>
      <xdr:colOff>538162</xdr:colOff>
      <xdr:row>39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FB535-385D-41B1-BF4D-F2624D84A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614364</xdr:colOff>
      <xdr:row>8</xdr:row>
      <xdr:rowOff>164304</xdr:rowOff>
    </xdr:from>
    <xdr:to>
      <xdr:col>13</xdr:col>
      <xdr:colOff>176213</xdr:colOff>
      <xdr:row>36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D1B35-DDCD-40F2-991C-C5D0C0E04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573880</xdr:colOff>
      <xdr:row>8</xdr:row>
      <xdr:rowOff>97629</xdr:rowOff>
    </xdr:from>
    <xdr:to>
      <xdr:col>10</xdr:col>
      <xdr:colOff>38099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D21C4-1978-48CA-ACF3-7E38B5B8C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519114</xdr:colOff>
      <xdr:row>9</xdr:row>
      <xdr:rowOff>7143</xdr:rowOff>
    </xdr:from>
    <xdr:to>
      <xdr:col>9</xdr:col>
      <xdr:colOff>1104900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BE4ED-1288-550E-26ED-4AD5C9B9C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233363</xdr:colOff>
      <xdr:row>2</xdr:row>
      <xdr:rowOff>61912</xdr:rowOff>
    </xdr:from>
    <xdr:to>
      <xdr:col>19</xdr:col>
      <xdr:colOff>528638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F5588-111E-E759-CA90-29D860895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8</xdr:row>
      <xdr:rowOff>52387</xdr:rowOff>
    </xdr:from>
    <xdr:to>
      <xdr:col>20</xdr:col>
      <xdr:colOff>85725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E18F7-7661-290D-7603-675B090B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528637</xdr:colOff>
      <xdr:row>7</xdr:row>
      <xdr:rowOff>159541</xdr:rowOff>
    </xdr:from>
    <xdr:to>
      <xdr:col>21</xdr:col>
      <xdr:colOff>319088</xdr:colOff>
      <xdr:row>55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299F6-CC0C-D091-74EB-E3C362A92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1</xdr:row>
      <xdr:rowOff>95249</xdr:rowOff>
    </xdr:from>
    <xdr:to>
      <xdr:col>26</xdr:col>
      <xdr:colOff>510540</xdr:colOff>
      <xdr:row>55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65B5-4ED6-ACD2-4B04-26AB60C2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1254917</xdr:colOff>
      <xdr:row>10</xdr:row>
      <xdr:rowOff>76199</xdr:rowOff>
    </xdr:from>
    <xdr:to>
      <xdr:col>7</xdr:col>
      <xdr:colOff>1095374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22C6C5-63EF-501F-D9B4-DE5C304B1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692943</xdr:colOff>
      <xdr:row>8</xdr:row>
      <xdr:rowOff>76198</xdr:rowOff>
    </xdr:from>
    <xdr:to>
      <xdr:col>8</xdr:col>
      <xdr:colOff>9524</xdr:colOff>
      <xdr:row>32</xdr:row>
      <xdr:rowOff>119061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71F5D-A899-05F9-7D4C-7AAFC320E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1088231</xdr:colOff>
      <xdr:row>8</xdr:row>
      <xdr:rowOff>180974</xdr:rowOff>
    </xdr:from>
    <xdr:to>
      <xdr:col>8</xdr:col>
      <xdr:colOff>919162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38006-3AF7-31C7-B326-3AB865F15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445292</xdr:colOff>
      <xdr:row>1</xdr:row>
      <xdr:rowOff>128589</xdr:rowOff>
    </xdr:from>
    <xdr:to>
      <xdr:col>17</xdr:col>
      <xdr:colOff>381000</xdr:colOff>
      <xdr:row>39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776C2-25CD-C7AA-DE00-C17BB3031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32c7099617ee8b5/Desktop/MY%20THESIS%20BUILD%20UP/thermal%20camera%20experiment%202.xlsx" TargetMode="External"/><Relationship Id="rId1" Type="http://schemas.openxmlformats.org/officeDocument/2006/relationships/externalLinkPath" Target="thermal%20camera%20experimen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tutal_illumination_light skin"/>
      <sheetName val="Naural_Illumination_dark_skinwg"/>
      <sheetName val="Naural_Illumination_darkskinwtg"/>
      <sheetName val="Artificial_Illumination_Light_s"/>
      <sheetName val="artificial_illuminatn_dksknwG"/>
      <sheetName val="Artificial_illumination_Dark_sk"/>
      <sheetName val="Natutal_Illuminatn _ltsknwg"/>
      <sheetName val="Natutal_Illuminatn _ltsknwhgl"/>
      <sheetName val="artificial_illumintn_litsknwg"/>
      <sheetName val="artificial_illumintn_litsknwhgl"/>
      <sheetName val="readingdistancePimoroniMLX9064"/>
      <sheetName val="readingdistanceRSPROT-10"/>
      <sheetName val="readingdistnceRobotshopMLX90640"/>
      <sheetName val="Avarageateachdistance"/>
      <sheetName val="SDateachdiatnce"/>
      <sheetName val="Average_SD"/>
    </sheetNames>
    <sheetDataSet>
      <sheetData sheetId="0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30.1</v>
          </cell>
          <cell r="C2">
            <v>29.7</v>
          </cell>
          <cell r="D2">
            <v>30</v>
          </cell>
          <cell r="E2">
            <v>36.5</v>
          </cell>
        </row>
        <row r="3">
          <cell r="B3">
            <v>25.1</v>
          </cell>
          <cell r="C3">
            <v>29</v>
          </cell>
          <cell r="D3">
            <v>24.9</v>
          </cell>
          <cell r="E3">
            <v>36.5</v>
          </cell>
        </row>
        <row r="4">
          <cell r="B4">
            <v>23</v>
          </cell>
          <cell r="C4">
            <v>24</v>
          </cell>
          <cell r="D4">
            <v>23</v>
          </cell>
          <cell r="E4">
            <v>36.5</v>
          </cell>
        </row>
        <row r="5">
          <cell r="B5">
            <v>22</v>
          </cell>
          <cell r="C5">
            <v>24</v>
          </cell>
          <cell r="D5">
            <v>21</v>
          </cell>
          <cell r="E5">
            <v>36.5</v>
          </cell>
        </row>
        <row r="6">
          <cell r="B6">
            <v>21</v>
          </cell>
          <cell r="C6">
            <v>24</v>
          </cell>
          <cell r="D6">
            <v>21</v>
          </cell>
          <cell r="E6">
            <v>36.5</v>
          </cell>
        </row>
      </sheetData>
      <sheetData sheetId="1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29</v>
          </cell>
          <cell r="C2">
            <v>29.3</v>
          </cell>
          <cell r="D2">
            <v>29.5</v>
          </cell>
          <cell r="E2">
            <v>35.700000000000003</v>
          </cell>
        </row>
        <row r="3">
          <cell r="B3">
            <v>24.5</v>
          </cell>
          <cell r="C3">
            <v>29</v>
          </cell>
          <cell r="D3">
            <v>25.75</v>
          </cell>
          <cell r="E3">
            <v>35.700000000000003</v>
          </cell>
        </row>
        <row r="4">
          <cell r="B4">
            <v>23.5</v>
          </cell>
          <cell r="C4">
            <v>27.8</v>
          </cell>
          <cell r="D4">
            <v>24</v>
          </cell>
          <cell r="E4">
            <v>35.700000000000003</v>
          </cell>
        </row>
        <row r="5">
          <cell r="B5">
            <v>22</v>
          </cell>
          <cell r="C5">
            <v>27.8</v>
          </cell>
          <cell r="D5">
            <v>24</v>
          </cell>
          <cell r="E5">
            <v>35.700000000000003</v>
          </cell>
        </row>
        <row r="6">
          <cell r="B6">
            <v>21.5</v>
          </cell>
          <cell r="C6">
            <v>25</v>
          </cell>
          <cell r="D6">
            <v>22.5</v>
          </cell>
          <cell r="E6">
            <v>35.700000000000003</v>
          </cell>
        </row>
      </sheetData>
      <sheetData sheetId="2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29.7</v>
          </cell>
          <cell r="C2">
            <v>30</v>
          </cell>
          <cell r="D2">
            <v>31.5</v>
          </cell>
          <cell r="E2">
            <v>35.700000000000003</v>
          </cell>
        </row>
        <row r="3">
          <cell r="B3">
            <v>25.7</v>
          </cell>
          <cell r="C3">
            <v>29.8</v>
          </cell>
          <cell r="D3">
            <v>27</v>
          </cell>
          <cell r="E3">
            <v>35.700000000000003</v>
          </cell>
        </row>
        <row r="4">
          <cell r="B4">
            <v>23.8</v>
          </cell>
          <cell r="C4">
            <v>28.9</v>
          </cell>
          <cell r="D4">
            <v>24.3</v>
          </cell>
          <cell r="E4">
            <v>35.700000000000003</v>
          </cell>
        </row>
        <row r="5">
          <cell r="B5">
            <v>21.8</v>
          </cell>
          <cell r="C5">
            <v>27.3</v>
          </cell>
          <cell r="D5">
            <v>22.5</v>
          </cell>
          <cell r="E5">
            <v>35.700000000000003</v>
          </cell>
        </row>
        <row r="6">
          <cell r="B6">
            <v>21.5</v>
          </cell>
          <cell r="C6">
            <v>26.2</v>
          </cell>
          <cell r="D6">
            <v>22</v>
          </cell>
          <cell r="E6">
            <v>35.700000000000003</v>
          </cell>
        </row>
      </sheetData>
      <sheetData sheetId="3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28.1</v>
          </cell>
          <cell r="C2">
            <v>30.4</v>
          </cell>
          <cell r="D2">
            <v>29</v>
          </cell>
          <cell r="E2">
            <v>36</v>
          </cell>
        </row>
        <row r="3">
          <cell r="B3">
            <v>24.5</v>
          </cell>
          <cell r="C3">
            <v>29.2</v>
          </cell>
          <cell r="D3">
            <v>25.6</v>
          </cell>
          <cell r="E3">
            <v>36</v>
          </cell>
        </row>
        <row r="4">
          <cell r="B4">
            <v>23.5</v>
          </cell>
          <cell r="C4">
            <v>27.5</v>
          </cell>
          <cell r="D4">
            <v>24</v>
          </cell>
          <cell r="E4">
            <v>36</v>
          </cell>
        </row>
        <row r="5">
          <cell r="B5">
            <v>22</v>
          </cell>
          <cell r="C5">
            <v>26.2</v>
          </cell>
          <cell r="D5">
            <v>22.5</v>
          </cell>
          <cell r="E5">
            <v>36</v>
          </cell>
        </row>
        <row r="6">
          <cell r="B6">
            <v>22</v>
          </cell>
          <cell r="C6">
            <v>24.2</v>
          </cell>
          <cell r="D6">
            <v>22</v>
          </cell>
          <cell r="E6">
            <v>36</v>
          </cell>
        </row>
      </sheetData>
      <sheetData sheetId="4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29</v>
          </cell>
          <cell r="C2">
            <v>29.7</v>
          </cell>
          <cell r="D2">
            <v>30</v>
          </cell>
          <cell r="E2">
            <v>36</v>
          </cell>
        </row>
        <row r="3">
          <cell r="B3">
            <v>26.5</v>
          </cell>
          <cell r="C3">
            <v>28.7</v>
          </cell>
          <cell r="D3">
            <v>26.8</v>
          </cell>
          <cell r="E3">
            <v>36</v>
          </cell>
        </row>
        <row r="4">
          <cell r="B4">
            <v>24</v>
          </cell>
          <cell r="C4">
            <v>27.9</v>
          </cell>
          <cell r="D4">
            <v>24.5</v>
          </cell>
          <cell r="E4">
            <v>36</v>
          </cell>
        </row>
        <row r="5">
          <cell r="B5">
            <v>23</v>
          </cell>
          <cell r="C5">
            <v>26.3</v>
          </cell>
          <cell r="D5">
            <v>24.4</v>
          </cell>
          <cell r="E5">
            <v>36</v>
          </cell>
        </row>
        <row r="6">
          <cell r="B6">
            <v>22.8</v>
          </cell>
          <cell r="C6">
            <v>26.1</v>
          </cell>
          <cell r="D6">
            <v>23</v>
          </cell>
          <cell r="E6">
            <v>36</v>
          </cell>
        </row>
      </sheetData>
      <sheetData sheetId="5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29.8</v>
          </cell>
          <cell r="C2">
            <v>29.9</v>
          </cell>
          <cell r="D2">
            <v>31</v>
          </cell>
          <cell r="E2">
            <v>36</v>
          </cell>
        </row>
        <row r="3">
          <cell r="B3">
            <v>26.3</v>
          </cell>
          <cell r="C3">
            <v>29.2</v>
          </cell>
          <cell r="D3">
            <v>27.5</v>
          </cell>
          <cell r="E3">
            <v>36</v>
          </cell>
        </row>
        <row r="4">
          <cell r="B4">
            <v>24.5</v>
          </cell>
          <cell r="C4">
            <v>28.4</v>
          </cell>
          <cell r="D4">
            <v>25</v>
          </cell>
          <cell r="E4">
            <v>36</v>
          </cell>
        </row>
        <row r="5">
          <cell r="B5">
            <v>23</v>
          </cell>
          <cell r="C5">
            <v>27.5</v>
          </cell>
          <cell r="D5">
            <v>24.5</v>
          </cell>
          <cell r="E5">
            <v>36</v>
          </cell>
        </row>
        <row r="6">
          <cell r="B6">
            <v>22.5</v>
          </cell>
          <cell r="C6">
            <v>26.4</v>
          </cell>
          <cell r="D6">
            <v>23.8</v>
          </cell>
          <cell r="E6">
            <v>36</v>
          </cell>
        </row>
      </sheetData>
      <sheetData sheetId="6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30</v>
          </cell>
          <cell r="C2">
            <v>30.4</v>
          </cell>
          <cell r="D2">
            <v>30.5</v>
          </cell>
          <cell r="E2">
            <v>35.700000000000003</v>
          </cell>
        </row>
        <row r="3">
          <cell r="B3">
            <v>26.5</v>
          </cell>
          <cell r="C3">
            <v>28.6</v>
          </cell>
          <cell r="D3">
            <v>26</v>
          </cell>
          <cell r="E3">
            <v>35.700000000000003</v>
          </cell>
        </row>
        <row r="4">
          <cell r="B4">
            <v>24</v>
          </cell>
          <cell r="C4">
            <v>26.2</v>
          </cell>
          <cell r="D4">
            <v>24.5</v>
          </cell>
          <cell r="E4">
            <v>35.700000000000003</v>
          </cell>
        </row>
        <row r="5">
          <cell r="B5">
            <v>22.5</v>
          </cell>
          <cell r="C5">
            <v>24.6</v>
          </cell>
          <cell r="D5">
            <v>23</v>
          </cell>
          <cell r="E5">
            <v>35.700000000000003</v>
          </cell>
        </row>
        <row r="6">
          <cell r="B6">
            <v>21.8</v>
          </cell>
          <cell r="C6">
            <v>22.9</v>
          </cell>
          <cell r="D6">
            <v>22.5</v>
          </cell>
          <cell r="E6">
            <v>35.700000000000003</v>
          </cell>
        </row>
      </sheetData>
      <sheetData sheetId="7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30.5</v>
          </cell>
          <cell r="C2">
            <v>30.3</v>
          </cell>
          <cell r="D2">
            <v>31.2</v>
          </cell>
          <cell r="E2">
            <v>35.700000000000003</v>
          </cell>
        </row>
        <row r="3">
          <cell r="B3">
            <v>25.5</v>
          </cell>
          <cell r="C3">
            <v>28.9</v>
          </cell>
          <cell r="D3">
            <v>26</v>
          </cell>
          <cell r="E3">
            <v>35.700000000000003</v>
          </cell>
        </row>
        <row r="4">
          <cell r="B4">
            <v>24.3</v>
          </cell>
          <cell r="C4">
            <v>27.5</v>
          </cell>
          <cell r="D4">
            <v>25</v>
          </cell>
          <cell r="E4">
            <v>35.700000000000003</v>
          </cell>
        </row>
        <row r="5">
          <cell r="B5">
            <v>22.25</v>
          </cell>
          <cell r="C5">
            <v>26.3</v>
          </cell>
          <cell r="D5">
            <v>24</v>
          </cell>
          <cell r="E5">
            <v>35.700000000000003</v>
          </cell>
        </row>
        <row r="6">
          <cell r="B6">
            <v>21.8</v>
          </cell>
          <cell r="C6">
            <v>23.6</v>
          </cell>
          <cell r="D6">
            <v>23.3</v>
          </cell>
          <cell r="E6">
            <v>35.700000000000003</v>
          </cell>
        </row>
      </sheetData>
      <sheetData sheetId="8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28.8</v>
          </cell>
          <cell r="C2">
            <v>30.5</v>
          </cell>
          <cell r="D2">
            <v>29.5</v>
          </cell>
          <cell r="E2">
            <v>37.5</v>
          </cell>
        </row>
        <row r="3">
          <cell r="B3">
            <v>25.5</v>
          </cell>
          <cell r="C3">
            <v>28.5</v>
          </cell>
          <cell r="D3">
            <v>26.3</v>
          </cell>
          <cell r="E3">
            <v>37.5</v>
          </cell>
        </row>
        <row r="4">
          <cell r="B4">
            <v>24.1</v>
          </cell>
          <cell r="C4">
            <v>28.1</v>
          </cell>
          <cell r="D4">
            <v>25</v>
          </cell>
          <cell r="E4">
            <v>37.5</v>
          </cell>
        </row>
        <row r="5">
          <cell r="B5">
            <v>23.8</v>
          </cell>
          <cell r="C5">
            <v>27</v>
          </cell>
          <cell r="D5">
            <v>24.3</v>
          </cell>
          <cell r="E5">
            <v>37.5</v>
          </cell>
        </row>
        <row r="6">
          <cell r="B6">
            <v>23.5</v>
          </cell>
          <cell r="C6">
            <v>26.1</v>
          </cell>
          <cell r="D6">
            <v>24</v>
          </cell>
          <cell r="E6">
            <v>37.5</v>
          </cell>
        </row>
      </sheetData>
      <sheetData sheetId="9">
        <row r="1">
          <cell r="B1" t="str">
            <v>Pimoroni MLX90640  (degree Celsius)</v>
          </cell>
          <cell r="C1" t="str">
            <v>RS PRO T-10  (degree Celsius)</v>
          </cell>
          <cell r="D1" t="str">
            <v>RobotShop MLX90640 (degree Celsius)</v>
          </cell>
          <cell r="E1" t="str">
            <v>Actual Temp  (degree Celsius)</v>
          </cell>
        </row>
        <row r="2">
          <cell r="B2">
            <v>29.5</v>
          </cell>
          <cell r="C2">
            <v>30.8</v>
          </cell>
          <cell r="D2">
            <v>30.5</v>
          </cell>
          <cell r="E2">
            <v>37.5</v>
          </cell>
        </row>
        <row r="3">
          <cell r="B3">
            <v>25.5</v>
          </cell>
          <cell r="C3">
            <v>28.9</v>
          </cell>
          <cell r="D3">
            <v>26.3</v>
          </cell>
          <cell r="E3">
            <v>37.5</v>
          </cell>
        </row>
        <row r="4">
          <cell r="B4">
            <v>24.5</v>
          </cell>
          <cell r="C4">
            <v>28</v>
          </cell>
          <cell r="D4">
            <v>25.3</v>
          </cell>
          <cell r="E4">
            <v>37.5</v>
          </cell>
        </row>
        <row r="5">
          <cell r="B5">
            <v>23.8</v>
          </cell>
          <cell r="C5">
            <v>27.5</v>
          </cell>
          <cell r="D5">
            <v>24.8</v>
          </cell>
          <cell r="E5">
            <v>37.5</v>
          </cell>
        </row>
        <row r="6">
          <cell r="B6">
            <v>23</v>
          </cell>
          <cell r="C6">
            <v>26.5</v>
          </cell>
          <cell r="D6">
            <v>24</v>
          </cell>
          <cell r="E6">
            <v>37.5</v>
          </cell>
        </row>
      </sheetData>
      <sheetData sheetId="10">
        <row r="1">
          <cell r="B1" t="str">
            <v>Temp Readings at 1 Metre</v>
          </cell>
          <cell r="C1" t="str">
            <v>Temp Readings at 2 Metres</v>
          </cell>
          <cell r="D1" t="str">
            <v>Temp Readings at 3 Metres</v>
          </cell>
          <cell r="E1" t="str">
            <v>Temp Readings at 4 Metres</v>
          </cell>
          <cell r="F1" t="str">
            <v>Temp Readings at 5 Metres</v>
          </cell>
        </row>
        <row r="2">
          <cell r="B2">
            <v>30.1</v>
          </cell>
          <cell r="C2">
            <v>25.1</v>
          </cell>
          <cell r="D2">
            <v>23</v>
          </cell>
          <cell r="E2">
            <v>22</v>
          </cell>
          <cell r="F2">
            <v>21</v>
          </cell>
        </row>
        <row r="3">
          <cell r="B3">
            <v>29</v>
          </cell>
          <cell r="C3">
            <v>24.5</v>
          </cell>
          <cell r="D3">
            <v>23.5</v>
          </cell>
          <cell r="E3">
            <v>22</v>
          </cell>
          <cell r="F3">
            <v>21.5</v>
          </cell>
        </row>
        <row r="4">
          <cell r="B4">
            <v>29.7</v>
          </cell>
          <cell r="C4">
            <v>25.7</v>
          </cell>
          <cell r="D4">
            <v>23.8</v>
          </cell>
          <cell r="E4">
            <v>21.8</v>
          </cell>
          <cell r="F4">
            <v>21.5</v>
          </cell>
        </row>
        <row r="5">
          <cell r="B5">
            <v>28.1</v>
          </cell>
          <cell r="C5">
            <v>24.5</v>
          </cell>
          <cell r="D5">
            <v>23.5</v>
          </cell>
          <cell r="E5">
            <v>22</v>
          </cell>
          <cell r="F5">
            <v>22</v>
          </cell>
        </row>
        <row r="6">
          <cell r="B6">
            <v>29</v>
          </cell>
          <cell r="C6">
            <v>26.5</v>
          </cell>
          <cell r="D6">
            <v>24</v>
          </cell>
          <cell r="E6">
            <v>23</v>
          </cell>
          <cell r="F6">
            <v>22.8</v>
          </cell>
        </row>
        <row r="7">
          <cell r="B7">
            <v>29.8</v>
          </cell>
          <cell r="C7">
            <v>26.3</v>
          </cell>
          <cell r="D7">
            <v>24.5</v>
          </cell>
          <cell r="E7">
            <v>23</v>
          </cell>
          <cell r="F7">
            <v>22.5</v>
          </cell>
        </row>
        <row r="8">
          <cell r="B8">
            <v>30</v>
          </cell>
          <cell r="C8">
            <v>26.5</v>
          </cell>
          <cell r="D8">
            <v>24</v>
          </cell>
          <cell r="E8">
            <v>22.5</v>
          </cell>
          <cell r="F8">
            <v>21.8</v>
          </cell>
        </row>
        <row r="9">
          <cell r="B9">
            <v>30.5</v>
          </cell>
          <cell r="C9">
            <v>25.5</v>
          </cell>
          <cell r="D9">
            <v>24.3</v>
          </cell>
          <cell r="E9">
            <v>22.25</v>
          </cell>
          <cell r="F9">
            <v>21.8</v>
          </cell>
        </row>
        <row r="10">
          <cell r="B10">
            <v>28.8</v>
          </cell>
          <cell r="C10">
            <v>25.5</v>
          </cell>
          <cell r="D10">
            <v>24.1</v>
          </cell>
          <cell r="E10">
            <v>23.8</v>
          </cell>
          <cell r="F10">
            <v>23.5</v>
          </cell>
        </row>
        <row r="11">
          <cell r="B11">
            <v>29.5</v>
          </cell>
          <cell r="C11">
            <v>25.5</v>
          </cell>
          <cell r="D11">
            <v>24.5</v>
          </cell>
          <cell r="E11">
            <v>23.8</v>
          </cell>
          <cell r="F11">
            <v>23</v>
          </cell>
        </row>
        <row r="13">
          <cell r="B13">
            <v>29.45</v>
          </cell>
          <cell r="C13">
            <v>25.56</v>
          </cell>
          <cell r="D13">
            <v>23.92</v>
          </cell>
          <cell r="E13">
            <v>22.615000000000002</v>
          </cell>
          <cell r="F13">
            <v>22.140000000000004</v>
          </cell>
        </row>
        <row r="17">
          <cell r="B17">
            <v>0.71995370221517241</v>
          </cell>
          <cell r="C17">
            <v>0.73060097028253224</v>
          </cell>
          <cell r="D17">
            <v>0.48027769744874349</v>
          </cell>
          <cell r="E17">
            <v>0.74909204300198584</v>
          </cell>
          <cell r="F17">
            <v>0.78343970908920479</v>
          </cell>
        </row>
      </sheetData>
      <sheetData sheetId="11">
        <row r="1">
          <cell r="B1" t="str">
            <v>Temp Readings at 1 Metre</v>
          </cell>
          <cell r="C1" t="str">
            <v>Temp Readings at 2 Metres</v>
          </cell>
          <cell r="D1" t="str">
            <v>Temp Readings at 3 Metres</v>
          </cell>
          <cell r="E1" t="str">
            <v>Temp Readings at 4 Metres</v>
          </cell>
          <cell r="F1" t="str">
            <v>Temp Readings at 5 Metres</v>
          </cell>
        </row>
        <row r="2">
          <cell r="B2">
            <v>29.7</v>
          </cell>
          <cell r="C2">
            <v>29</v>
          </cell>
          <cell r="D2">
            <v>24</v>
          </cell>
          <cell r="E2">
            <v>24</v>
          </cell>
          <cell r="F2">
            <v>24</v>
          </cell>
        </row>
        <row r="3">
          <cell r="B3">
            <v>29.3</v>
          </cell>
          <cell r="C3">
            <v>29</v>
          </cell>
          <cell r="D3">
            <v>27.8</v>
          </cell>
          <cell r="E3">
            <v>27.8</v>
          </cell>
          <cell r="F3">
            <v>25</v>
          </cell>
        </row>
        <row r="4">
          <cell r="B4">
            <v>30</v>
          </cell>
          <cell r="C4">
            <v>29.8</v>
          </cell>
          <cell r="D4">
            <v>28.9</v>
          </cell>
          <cell r="E4">
            <v>27.3</v>
          </cell>
          <cell r="F4">
            <v>26.2</v>
          </cell>
        </row>
        <row r="5">
          <cell r="B5">
            <v>30.4</v>
          </cell>
          <cell r="C5">
            <v>29.2</v>
          </cell>
          <cell r="D5">
            <v>27.5</v>
          </cell>
          <cell r="E5">
            <v>26.2</v>
          </cell>
          <cell r="F5">
            <v>24.2</v>
          </cell>
        </row>
        <row r="6">
          <cell r="B6">
            <v>29.7</v>
          </cell>
          <cell r="C6">
            <v>28.7</v>
          </cell>
          <cell r="D6">
            <v>27.9</v>
          </cell>
          <cell r="E6">
            <v>26.3</v>
          </cell>
          <cell r="F6">
            <v>26.1</v>
          </cell>
        </row>
        <row r="7">
          <cell r="B7">
            <v>29.9</v>
          </cell>
          <cell r="C7">
            <v>29.2</v>
          </cell>
          <cell r="D7">
            <v>28.4</v>
          </cell>
          <cell r="E7">
            <v>27.5</v>
          </cell>
          <cell r="F7">
            <v>26.4</v>
          </cell>
        </row>
        <row r="8">
          <cell r="B8">
            <v>30.4</v>
          </cell>
          <cell r="C8">
            <v>28.6</v>
          </cell>
          <cell r="D8">
            <v>26.2</v>
          </cell>
          <cell r="E8">
            <v>24.6</v>
          </cell>
          <cell r="F8">
            <v>22.9</v>
          </cell>
        </row>
        <row r="9">
          <cell r="B9">
            <v>30.3</v>
          </cell>
          <cell r="C9">
            <v>28.9</v>
          </cell>
          <cell r="D9">
            <v>27.5</v>
          </cell>
          <cell r="E9">
            <v>26.3</v>
          </cell>
          <cell r="F9">
            <v>23.6</v>
          </cell>
        </row>
        <row r="10">
          <cell r="B10">
            <v>30.5</v>
          </cell>
          <cell r="C10">
            <v>28.5</v>
          </cell>
          <cell r="D10">
            <v>28.1</v>
          </cell>
          <cell r="E10">
            <v>27</v>
          </cell>
          <cell r="F10">
            <v>23.5</v>
          </cell>
        </row>
        <row r="11">
          <cell r="B11">
            <v>30.8</v>
          </cell>
          <cell r="C11">
            <v>28.9</v>
          </cell>
          <cell r="D11">
            <v>28</v>
          </cell>
          <cell r="E11">
            <v>27.5</v>
          </cell>
          <cell r="F11">
            <v>26.5</v>
          </cell>
        </row>
        <row r="13">
          <cell r="B13">
            <v>30.100000000000005</v>
          </cell>
          <cell r="C13">
            <v>28.979999999999997</v>
          </cell>
          <cell r="D13">
            <v>27.429999999999996</v>
          </cell>
          <cell r="E13">
            <v>26.45</v>
          </cell>
          <cell r="F13">
            <v>24.84</v>
          </cell>
        </row>
        <row r="17">
          <cell r="B17">
            <v>0.45704364002673625</v>
          </cell>
          <cell r="C17">
            <v>0.37058512292499463</v>
          </cell>
          <cell r="D17">
            <v>1.3952697867358042</v>
          </cell>
          <cell r="E17">
            <v>1.2730104302618872</v>
          </cell>
          <cell r="F17">
            <v>1.3688600285557972</v>
          </cell>
        </row>
      </sheetData>
      <sheetData sheetId="12">
        <row r="1">
          <cell r="B1" t="str">
            <v>Temp Readings at 1 Metre</v>
          </cell>
          <cell r="C1" t="str">
            <v>Temp Readings at 2 Metres</v>
          </cell>
          <cell r="D1" t="str">
            <v>Temp Readings at 3 Metres</v>
          </cell>
          <cell r="E1" t="str">
            <v>Temp Readings at 4 Metres</v>
          </cell>
          <cell r="F1" t="str">
            <v>Temp Readings at 5 Metres</v>
          </cell>
        </row>
        <row r="2">
          <cell r="B2">
            <v>30</v>
          </cell>
          <cell r="C2">
            <v>24.9</v>
          </cell>
          <cell r="D2">
            <v>23</v>
          </cell>
          <cell r="E2">
            <v>21</v>
          </cell>
          <cell r="F2">
            <v>21</v>
          </cell>
        </row>
        <row r="3">
          <cell r="B3">
            <v>29.5</v>
          </cell>
          <cell r="C3">
            <v>25.75</v>
          </cell>
          <cell r="D3">
            <v>24</v>
          </cell>
          <cell r="E3">
            <v>24</v>
          </cell>
          <cell r="F3">
            <v>22.5</v>
          </cell>
        </row>
        <row r="4">
          <cell r="B4">
            <v>31.5</v>
          </cell>
          <cell r="C4">
            <v>27</v>
          </cell>
          <cell r="D4">
            <v>24.3</v>
          </cell>
          <cell r="E4">
            <v>22.5</v>
          </cell>
          <cell r="F4">
            <v>22</v>
          </cell>
        </row>
        <row r="5">
          <cell r="B5">
            <v>29</v>
          </cell>
          <cell r="C5">
            <v>25.6</v>
          </cell>
          <cell r="D5">
            <v>24</v>
          </cell>
          <cell r="E5">
            <v>22.5</v>
          </cell>
          <cell r="F5">
            <v>22</v>
          </cell>
        </row>
        <row r="6">
          <cell r="B6">
            <v>30</v>
          </cell>
          <cell r="C6">
            <v>26.8</v>
          </cell>
          <cell r="D6">
            <v>24.5</v>
          </cell>
          <cell r="E6">
            <v>24.4</v>
          </cell>
          <cell r="F6">
            <v>23</v>
          </cell>
        </row>
        <row r="7">
          <cell r="B7">
            <v>31</v>
          </cell>
          <cell r="C7">
            <v>27.5</v>
          </cell>
          <cell r="D7">
            <v>25</v>
          </cell>
          <cell r="E7">
            <v>24.5</v>
          </cell>
          <cell r="F7">
            <v>23.8</v>
          </cell>
        </row>
        <row r="8">
          <cell r="B8">
            <v>30.5</v>
          </cell>
          <cell r="C8">
            <v>26</v>
          </cell>
          <cell r="D8">
            <v>24.5</v>
          </cell>
          <cell r="E8">
            <v>23</v>
          </cell>
          <cell r="F8">
            <v>22.5</v>
          </cell>
        </row>
        <row r="9">
          <cell r="B9">
            <v>31.2</v>
          </cell>
          <cell r="C9">
            <v>26</v>
          </cell>
          <cell r="D9">
            <v>25</v>
          </cell>
          <cell r="E9">
            <v>24</v>
          </cell>
          <cell r="F9">
            <v>23.3</v>
          </cell>
        </row>
        <row r="10">
          <cell r="B10">
            <v>29.5</v>
          </cell>
          <cell r="C10">
            <v>26.3</v>
          </cell>
          <cell r="D10">
            <v>25</v>
          </cell>
          <cell r="E10">
            <v>24.3</v>
          </cell>
          <cell r="F10">
            <v>24</v>
          </cell>
        </row>
        <row r="11">
          <cell r="B11">
            <v>30.5</v>
          </cell>
          <cell r="C11">
            <v>26.3</v>
          </cell>
          <cell r="D11">
            <v>25.3</v>
          </cell>
          <cell r="E11">
            <v>24.8</v>
          </cell>
          <cell r="F11">
            <v>24</v>
          </cell>
        </row>
        <row r="13">
          <cell r="B13">
            <v>30.27</v>
          </cell>
          <cell r="C13">
            <v>26.215000000000003</v>
          </cell>
          <cell r="D13">
            <v>24.46</v>
          </cell>
          <cell r="E13">
            <v>23.500000000000004</v>
          </cell>
          <cell r="F13">
            <v>22.810000000000002</v>
          </cell>
        </row>
        <row r="17">
          <cell r="B17">
            <v>0.81383864084555069</v>
          </cell>
          <cell r="C17">
            <v>0.74835003693310398</v>
          </cell>
          <cell r="D17">
            <v>0.68019605016985107</v>
          </cell>
          <cell r="E17">
            <v>1.2083045973594573</v>
          </cell>
          <cell r="F17">
            <v>0.99269554468852372</v>
          </cell>
        </row>
      </sheetData>
      <sheetData sheetId="13">
        <row r="1">
          <cell r="A1" t="str">
            <v>Distance</v>
          </cell>
          <cell r="B1" t="str">
            <v>Pimoroni MLX90640</v>
          </cell>
          <cell r="C1" t="str">
            <v xml:space="preserve"> RS PRO T-10</v>
          </cell>
          <cell r="D1" t="str">
            <v>Robotshop MLX90640</v>
          </cell>
        </row>
        <row r="2">
          <cell r="A2" t="str">
            <v>1 Metre</v>
          </cell>
          <cell r="B2">
            <v>29.45</v>
          </cell>
          <cell r="C2">
            <v>30.100000000000005</v>
          </cell>
          <cell r="D2">
            <v>30.27</v>
          </cell>
        </row>
        <row r="3">
          <cell r="A3" t="str">
            <v>2 Metres</v>
          </cell>
          <cell r="B3">
            <v>25.56</v>
          </cell>
          <cell r="C3">
            <v>28.979999999999997</v>
          </cell>
          <cell r="D3">
            <v>26.215000000000003</v>
          </cell>
        </row>
        <row r="4">
          <cell r="A4" t="str">
            <v>3 Metres</v>
          </cell>
          <cell r="B4">
            <v>23.92</v>
          </cell>
          <cell r="C4">
            <v>27.429999999999996</v>
          </cell>
          <cell r="D4">
            <v>24.46</v>
          </cell>
        </row>
        <row r="5">
          <cell r="A5" t="str">
            <v>4 Metres</v>
          </cell>
          <cell r="B5">
            <v>22.615000000000002</v>
          </cell>
          <cell r="C5">
            <v>26.45</v>
          </cell>
          <cell r="D5">
            <v>23.500000000000004</v>
          </cell>
        </row>
        <row r="6">
          <cell r="A6" t="str">
            <v>5 Metres</v>
          </cell>
          <cell r="B6">
            <v>22.140000000000004</v>
          </cell>
          <cell r="C6">
            <v>24.84</v>
          </cell>
          <cell r="D6">
            <v>22.810000000000002</v>
          </cell>
        </row>
      </sheetData>
      <sheetData sheetId="14">
        <row r="1">
          <cell r="A1" t="str">
            <v>Distance</v>
          </cell>
          <cell r="B1" t="str">
            <v>Pimoroni MLX90640</v>
          </cell>
          <cell r="C1" t="str">
            <v xml:space="preserve"> RS PRO T-10</v>
          </cell>
          <cell r="D1" t="str">
            <v>Robotshop MLX90640</v>
          </cell>
        </row>
        <row r="2">
          <cell r="A2" t="str">
            <v>1 Metre</v>
          </cell>
          <cell r="B2">
            <v>0.71995370221517241</v>
          </cell>
          <cell r="C2">
            <v>0.45704364002673625</v>
          </cell>
          <cell r="D2">
            <v>0.81383864084555069</v>
          </cell>
        </row>
        <row r="3">
          <cell r="A3" t="str">
            <v>2 Metres</v>
          </cell>
          <cell r="B3">
            <v>0.73060097028253224</v>
          </cell>
          <cell r="C3">
            <v>0.37058512292499463</v>
          </cell>
          <cell r="D3">
            <v>0.74835003693310398</v>
          </cell>
        </row>
        <row r="4">
          <cell r="A4" t="str">
            <v>3 Metres</v>
          </cell>
          <cell r="B4">
            <v>0.48027769744874349</v>
          </cell>
          <cell r="C4">
            <v>1.3952697867358042</v>
          </cell>
          <cell r="D4">
            <v>0.68019605016985107</v>
          </cell>
        </row>
        <row r="5">
          <cell r="A5" t="str">
            <v>4 Metres</v>
          </cell>
          <cell r="B5">
            <v>0.74909204300198584</v>
          </cell>
          <cell r="C5">
            <v>1.2730104302618872</v>
          </cell>
          <cell r="D5">
            <v>1.2083045973594573</v>
          </cell>
        </row>
        <row r="6">
          <cell r="A6" t="str">
            <v>5 Metres</v>
          </cell>
          <cell r="B6">
            <v>0.78343970908920479</v>
          </cell>
          <cell r="C6">
            <v>1.3688600285557972</v>
          </cell>
          <cell r="D6">
            <v>0.99269554468852372</v>
          </cell>
        </row>
      </sheetData>
      <sheetData sheetId="15">
        <row r="2">
          <cell r="B2" t="str">
            <v>Pimoroni MLX90640</v>
          </cell>
          <cell r="C2" t="str">
            <v xml:space="preserve"> RS PRO T-10</v>
          </cell>
          <cell r="D2" t="str">
            <v>Robotshop MLX90640</v>
          </cell>
        </row>
        <row r="3">
          <cell r="B3">
            <v>29.45</v>
          </cell>
          <cell r="C3">
            <v>30.100000000000005</v>
          </cell>
          <cell r="D3">
            <v>30.27</v>
          </cell>
          <cell r="H3">
            <v>0.71995370221517241</v>
          </cell>
          <cell r="I3">
            <v>0.45704364002673625</v>
          </cell>
          <cell r="J3">
            <v>0.81383864084555069</v>
          </cell>
        </row>
        <row r="4">
          <cell r="B4">
            <v>25.56</v>
          </cell>
          <cell r="C4">
            <v>28.979999999999997</v>
          </cell>
          <cell r="D4">
            <v>26.215000000000003</v>
          </cell>
          <cell r="H4">
            <v>0.73060097028253224</v>
          </cell>
          <cell r="I4">
            <v>0.37058512292499463</v>
          </cell>
          <cell r="J4">
            <v>0.74835003693310398</v>
          </cell>
        </row>
        <row r="5">
          <cell r="B5">
            <v>23.92</v>
          </cell>
          <cell r="C5">
            <v>27.429999999999996</v>
          </cell>
          <cell r="D5">
            <v>24.46</v>
          </cell>
          <cell r="H5">
            <v>0.48027769744874349</v>
          </cell>
          <cell r="I5">
            <v>1.3952697867358042</v>
          </cell>
          <cell r="J5">
            <v>0.68019605016985107</v>
          </cell>
        </row>
        <row r="6">
          <cell r="B6">
            <v>22.615000000000002</v>
          </cell>
          <cell r="C6">
            <v>26.45</v>
          </cell>
          <cell r="D6">
            <v>23.500000000000004</v>
          </cell>
          <cell r="H6">
            <v>0.74909204300198584</v>
          </cell>
          <cell r="I6">
            <v>1.2730104302618872</v>
          </cell>
          <cell r="J6">
            <v>1.2083045973594573</v>
          </cell>
        </row>
        <row r="7">
          <cell r="B7">
            <v>22.140000000000004</v>
          </cell>
          <cell r="C7">
            <v>24.84</v>
          </cell>
          <cell r="D7">
            <v>22.810000000000002</v>
          </cell>
          <cell r="H7">
            <v>0.78343970908920479</v>
          </cell>
          <cell r="I7">
            <v>1.3688600285557972</v>
          </cell>
          <cell r="J7">
            <v>0.99269554468852372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C84AC92-E09C-43AD-92AB-0D30E9604C42}" name="Table17" displayName="Table17" ref="A2:G7" totalsRowShown="0" headerRowDxfId="19">
  <autoFilter ref="A2:G7" xr:uid="{6C84AC92-E09C-43AD-92AB-0D30E9604C42}"/>
  <tableColumns count="7">
    <tableColumn id="1" xr3:uid="{CF96E9C3-4A51-4CB9-A975-0638A20E8375}" name="DATE/TIME"/>
    <tableColumn id="2" xr3:uid="{1AB624B0-D454-40ED-8F11-B3995F4A2E1B}" name="Pimoroni MLX90640  (degree Celsius)"/>
    <tableColumn id="3" xr3:uid="{E385F736-EC9E-44E1-B007-C3C5199DC1E2}" name="RS PRO T-10  (degree Celsius)"/>
    <tableColumn id="4" xr3:uid="{AD005B88-1559-494C-B473-008EE071D83C}" name="RobotShop MLX90640 (degree Celsius)"/>
    <tableColumn id="5" xr3:uid="{BEB0734B-3049-4D2C-AADE-243266B5834B}" name="Actual Temp "/>
    <tableColumn id="6" xr3:uid="{60B17339-BB59-44C1-B30C-4FF84674FE18}" name="DISTANCE (M)"/>
    <tableColumn id="7" xr3:uid="{A6C4161F-2322-4625-A03F-86F0639F71C1}" name="AMBIENT TEMP  (degree Celsius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0923BD-263D-42A3-A2A5-AAD39AD72060}" name="Table18" displayName="Table18" ref="A2:G7" totalsRowShown="0" headerRowDxfId="18">
  <autoFilter ref="A2:G7" xr:uid="{720923BD-263D-42A3-A2A5-AAD39AD72060}"/>
  <tableColumns count="7">
    <tableColumn id="1" xr3:uid="{C5D9CA3F-BD53-4283-A4C9-F9132D8BD2DC}" name="DATE/TIME"/>
    <tableColumn id="2" xr3:uid="{CF3E1A6E-F9B1-4FD5-9F92-F4AF04386578}" name="Pimoroni MLX90640  (degree Celsius)"/>
    <tableColumn id="3" xr3:uid="{0FE17EFB-2643-4405-A828-58BCD681851C}" name="RS PRO T-10  (degree Celsius)"/>
    <tableColumn id="4" xr3:uid="{43B0E8B7-3512-4754-AA85-BA2B975EE488}" name="RobotShop MLX90640 (degree Celsius)"/>
    <tableColumn id="5" xr3:uid="{87DD42EF-8D8E-43BA-A55D-E140DFD52A59}" name="Actual Temp "/>
    <tableColumn id="6" xr3:uid="{BF03C1BB-8EF6-49FD-8E79-1F1D984218E9}" name="DISTANCE (M)"/>
    <tableColumn id="7" xr3:uid="{D6CD401D-C333-49FE-98B1-2CD88F7D25E1}" name="AMBIENT TEMP  (degree Celsius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13CC2A7-9A50-4C42-9C11-4E779BFBF54D}" name="Table19" displayName="Table19" ref="A1:G6" totalsRowShown="0" headerRowDxfId="17">
  <autoFilter ref="A1:G6" xr:uid="{C13CC2A7-9A50-4C42-9C11-4E779BFBF54D}"/>
  <tableColumns count="7">
    <tableColumn id="1" xr3:uid="{949DB47E-1D0D-4BAD-89B7-9C40D8505E1C}" name="DATE/TIME"/>
    <tableColumn id="2" xr3:uid="{CD3367CA-1698-4272-913D-CE57099B0F88}" name="Pimoroni MLX90640  (degree Celsius)"/>
    <tableColumn id="3" xr3:uid="{B836D832-38E6-4AB9-9209-149017ACFA84}" name="RS PRO T-10  (degree Celsius)"/>
    <tableColumn id="4" xr3:uid="{B45729A9-316C-46A3-9C90-17EF295326BF}" name="RobotShop MLX90640 (degree Celsius)"/>
    <tableColumn id="5" xr3:uid="{59B6BFE7-3C9A-406F-965E-5523C49B6210}" name="Actual Temp "/>
    <tableColumn id="6" xr3:uid="{B04AB5CD-B7C5-4744-94A8-E161B035C791}" name="DISTANCE (M)"/>
    <tableColumn id="7" xr3:uid="{1FCF8018-0822-447E-89DB-F614C60AAB5C}" name="AMBIENT TEMP  (degree Celsius)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A0DCF93-EB27-48C9-A3FB-C81AB0B9CA4D}" name="Table20" displayName="Table20" ref="A1:G6" totalsRowShown="0" headerRowDxfId="16">
  <autoFilter ref="A1:G6" xr:uid="{EA0DCF93-EB27-48C9-A3FB-C81AB0B9CA4D}"/>
  <tableColumns count="7">
    <tableColumn id="1" xr3:uid="{ECA731AB-D2F0-43FE-8421-40B300499E3C}" name="DATE/TIME"/>
    <tableColumn id="2" xr3:uid="{E9E8761D-70ED-4336-8F8A-84F735B5FA1B}" name="Pimoroni MLX90640  (degree Celsius)"/>
    <tableColumn id="3" xr3:uid="{AFA13A7E-BF47-44CD-B600-081F17A1A374}" name="RS PRO T-10  (degree Celsius)"/>
    <tableColumn id="4" xr3:uid="{76575283-02A2-4108-8FF8-2238D01BBC79}" name="RobotShop MLX90640 (degree Celsius)"/>
    <tableColumn id="5" xr3:uid="{63D53CFF-2742-44DB-B6DB-870FFB4A36DD}" name="Actual Temp "/>
    <tableColumn id="6" xr3:uid="{BF78539C-8426-45D3-AD91-14ED864C643C}" name="DISTANCE (M)"/>
    <tableColumn id="7" xr3:uid="{D76A55C1-548E-43E2-9656-C3B26CE018D5}" name="AMBIENT TEMP  (degree Celsius)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5430FA2-ACF1-48AB-9F75-427BDB6A3129}" name="Table21" displayName="Table21" ref="A1:G6" totalsRowShown="0" headerRowDxfId="15">
  <autoFilter ref="A1:G6" xr:uid="{E5430FA2-ACF1-48AB-9F75-427BDB6A3129}"/>
  <tableColumns count="7">
    <tableColumn id="1" xr3:uid="{D43BEFF6-9A8E-44FF-8019-90126A9C87AE}" name="DATE/TIME"/>
    <tableColumn id="2" xr3:uid="{572CFDB0-2D0E-43A9-8B47-57094EB037C4}" name="Pimoroni MLX90640  (degree Celsius)"/>
    <tableColumn id="3" xr3:uid="{1FD8BBF2-B292-425D-AF08-90EC4DC17CE9}" name="RS PRO T-10  (degree Celsius)"/>
    <tableColumn id="4" xr3:uid="{785FCFDD-AE78-4411-92DA-D55CEB8A6833}" name="RobotShop MLX90640 (degree Celsius)"/>
    <tableColumn id="5" xr3:uid="{2928D3C1-FC34-4D10-A03E-BC9BC1FD42D4}" name="Actual Temp "/>
    <tableColumn id="6" xr3:uid="{CBCE9549-BF10-4165-90CE-C7ED3E344680}" name="DISTANCE (M)"/>
    <tableColumn id="7" xr3:uid="{579CE105-46F9-4371-BC53-84D325B16272}" name="AMBIENT TEMP  (degree Celsius)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5F9C35-A4C3-4CEE-B038-154FAC9FEC1C}" name="Table22" displayName="Table22" ref="A1:G6" totalsRowShown="0" headerRowDxfId="14">
  <autoFilter ref="A1:G6" xr:uid="{CA5F9C35-A4C3-4CEE-B038-154FAC9FEC1C}"/>
  <tableColumns count="7">
    <tableColumn id="1" xr3:uid="{F0711E5D-24FB-4A68-9ED5-70FE319B1525}" name="DATE/TIME"/>
    <tableColumn id="2" xr3:uid="{DE28AE67-1DC5-48DC-AA53-283B0E1C10FD}" name="Pimoroni MLX90640  (degree Celsius)"/>
    <tableColumn id="3" xr3:uid="{36CB2F87-4E2D-4E71-B658-11D67E0B7E74}" name="RS PRO T-10  (degree Celsius)"/>
    <tableColumn id="4" xr3:uid="{755D53ED-3E8D-4469-9803-76145B67682E}" name="RobotShop MLX90640 (degree Celsius)"/>
    <tableColumn id="5" xr3:uid="{37A200CE-448F-401A-818F-845AC6D09D3D}" name="Actual Temp "/>
    <tableColumn id="6" xr3:uid="{1C2A057B-05C0-47D9-AB99-157352FEF297}" name="DISTANCE (M)"/>
    <tableColumn id="7" xr3:uid="{EBACDC6C-23C3-46A3-BF6A-D96AF891EDB3}" name="AMBIENT TEMP  (degree Celsius)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F1DD8A3-A14F-45E4-A1A2-F756A2A85875}" name="Table23" displayName="Table23" ref="A1:G6" totalsRowShown="0" headerRowDxfId="13">
  <autoFilter ref="A1:G6" xr:uid="{CF1DD8A3-A14F-45E4-A1A2-F756A2A85875}"/>
  <tableColumns count="7">
    <tableColumn id="1" xr3:uid="{7C817211-6000-4386-9361-A4345E048B2D}" name="DATE/TIME"/>
    <tableColumn id="2" xr3:uid="{7CD19147-7626-4FF9-A6DB-C7BD9A3C1F66}" name="Pimoroni MLX90640  (degree Celsius)"/>
    <tableColumn id="3" xr3:uid="{F894D879-5878-4975-8B35-86F9E2E7BF50}" name="RS PRO T-10  (degree Celsius)"/>
    <tableColumn id="4" xr3:uid="{FE4350B0-84A8-441A-8AF3-32B210F437E0}" name="RobotShop MLX90640 (degree Celsius)"/>
    <tableColumn id="5" xr3:uid="{7358BE9A-73D1-40EE-99F0-91BE2C025E49}" name="Actual Temp "/>
    <tableColumn id="6" xr3:uid="{AB5D2D03-C24C-4EA4-8BE0-765B9FF7B121}" name="DISTANCE (M)"/>
    <tableColumn id="7" xr3:uid="{866316C0-0814-4790-ADF4-22C1F017DB3D}" name="AMBIENT TEMP  (degree Celsius)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D47A222-5EAC-4CA9-A71E-838571973268}" name="Table24" displayName="Table24" ref="A1:G6" totalsRowShown="0" headerRowDxfId="12">
  <autoFilter ref="A1:G6" xr:uid="{FD47A222-5EAC-4CA9-A71E-838571973268}"/>
  <tableColumns count="7">
    <tableColumn id="1" xr3:uid="{F5E1D486-9151-45C7-B1E9-5A114D359925}" name="DATE/TIME"/>
    <tableColumn id="2" xr3:uid="{2618D384-1DA3-48F3-963E-9E8D187C4661}" name="Pimoroni MLX90640  (degree Celsius)"/>
    <tableColumn id="3" xr3:uid="{D4995DA2-1600-433C-90B5-81A4E29E9998}" name="RS PRO T-10  (degree Celsius)"/>
    <tableColumn id="4" xr3:uid="{E4575597-672D-4212-B7C5-E84EDE10F8F2}" name="RobotShop MLX90640 (degree Celsius)"/>
    <tableColumn id="5" xr3:uid="{FAEEE087-BA3D-4A36-9DED-31284974ABEB}" name="Actual Temp "/>
    <tableColumn id="6" xr3:uid="{A864FAA1-2A22-4B76-9579-92D74386D256}" name="DISTANCE (M)"/>
    <tableColumn id="7" xr3:uid="{31A6D923-FA9A-49C6-84FA-2C3697CB1F42}" name="AMBIENT TEMP  (degree Celsius)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BA00995-FD78-441D-88E6-DB36F96AB910}" name="Table25" displayName="Table25" ref="A1:G6" totalsRowShown="0" headerRowDxfId="11">
  <autoFilter ref="A1:G6" xr:uid="{ABA00995-FD78-441D-88E6-DB36F96AB910}"/>
  <tableColumns count="7">
    <tableColumn id="1" xr3:uid="{73C477BD-5EB7-47FA-ADF4-60B60B0D5A8D}" name="DATE/TIME"/>
    <tableColumn id="2" xr3:uid="{5B9A4244-1D58-4E64-BE5D-89F06CE69F79}" name="Pimoroni MLX90640  (degree Celsius)"/>
    <tableColumn id="3" xr3:uid="{41BB2A9E-2A47-48EB-9ED1-F4F4F330F767}" name="RS PRO T-10  (degree Celsius)"/>
    <tableColumn id="4" xr3:uid="{1100AB22-46FD-4027-88CD-7E41AA04E214}" name="RobotShop MLX90640 (degree Celsius)"/>
    <tableColumn id="5" xr3:uid="{C61291D6-1794-4E39-8F93-187846A9C4FC}" name="Actual Temp "/>
    <tableColumn id="6" xr3:uid="{A1A1FC74-A981-435E-8395-73081FF238F7}" name="DISTANCE (M)"/>
    <tableColumn id="7" xr3:uid="{8D855CDD-D603-40A9-9CFC-5A11C62C7310}" name="AMBIENT TEMP  (degree Celsius)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28DECD8-9A90-42F3-AA88-9FFEF0DE49E2}" name="Table26" displayName="Table26" ref="A1:G6" totalsRowShown="0" headerRowDxfId="10">
  <autoFilter ref="A1:G6" xr:uid="{128DECD8-9A90-42F3-AA88-9FFEF0DE49E2}"/>
  <tableColumns count="7">
    <tableColumn id="1" xr3:uid="{9FBBBCB7-A139-4A2A-AAC1-1B7ED199CDD5}" name="DATE/TIME"/>
    <tableColumn id="2" xr3:uid="{F54863B0-7238-4E54-8A68-88C3DADF60B7}" name="Pimoroni MLX90640  (degree Celsius)"/>
    <tableColumn id="3" xr3:uid="{61C8D8E4-F464-4B11-A5B5-5BDE59CAD10A}" name="RS PRO T-10  (degree Celsius)"/>
    <tableColumn id="4" xr3:uid="{BC6AF66E-B23A-494D-B68C-4045594835AC}" name="RobotShop MLX90640 (degree Celsius)"/>
    <tableColumn id="5" xr3:uid="{1191FE82-263E-4CC4-972E-282EC71B14D4}" name="Actual Temp "/>
    <tableColumn id="6" xr3:uid="{90E19309-2D96-4976-8F3B-3AAB7E704EA6}" name="DISTANCE (M)"/>
    <tableColumn id="7" xr3:uid="{73C3C9F2-E891-4DCD-B4A1-85EC9759734D}" name="AMBIENT TEMP  (degree Celsius)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DC8B57-47B7-4D4D-B915-72DC69D7BD4F}" name="Table16" displayName="Table16" ref="A1:G6" totalsRowShown="0" headerRowDxfId="9">
  <autoFilter ref="A1:G6" xr:uid="{7ADC8B57-47B7-4D4D-B915-72DC69D7BD4F}"/>
  <tableColumns count="7">
    <tableColumn id="1" xr3:uid="{D11F75F6-A747-42E9-A8E9-0329FB6541C8}" name="DATE/TIME"/>
    <tableColumn id="2" xr3:uid="{FC702DD5-F330-483A-A0DB-2EBA57C2D9B9}" name="Pimoroni MLX90640  (degree Celsius)"/>
    <tableColumn id="3" xr3:uid="{9480C331-0F50-4D62-B40F-BD6C69735B50}" name="RS PRO T-10  (degree Celsius)"/>
    <tableColumn id="4" xr3:uid="{93CF6643-2DB6-4868-9849-974DC25F3C5F}" name="RobotShop MLX90640 (degree Celsius)"/>
    <tableColumn id="5" xr3:uid="{126210CD-4D4A-4EB0-A474-D11C7C2F5169}" name="Actual Temp "/>
    <tableColumn id="6" xr3:uid="{C9BFE439-95A8-4B3D-A825-F268B1C35063}" name="DISTANCE (M)"/>
    <tableColumn id="7" xr3:uid="{A3B33798-20AF-44DC-B7C5-563E954A2B7B}" name="AMBIENT TEMP  (degree Celsius)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66884BE-EB5B-4A88-B2D2-7B0E5420222E}" name="Table15" displayName="Table15" ref="A1:J13" totalsRowShown="0" headerRowDxfId="8">
  <autoFilter ref="A1:J13" xr:uid="{166884BE-EB5B-4A88-B2D2-7B0E5420222E}"/>
  <tableColumns count="10">
    <tableColumn id="1" xr3:uid="{8D7A72FA-68F3-4172-9CAF-0E5458C48B7F}" name="Column1"/>
    <tableColumn id="2" xr3:uid="{FE7ACDCB-D87A-4ECE-AC53-7B8D10214661}" name="Column2"/>
    <tableColumn id="3" xr3:uid="{11DE2461-3633-4FC0-AF76-84A89245CA3B}" name="Column3"/>
    <tableColumn id="4" xr3:uid="{54F53531-2869-4166-975F-1C8072844D59}" name="Column4"/>
    <tableColumn id="5" xr3:uid="{B58BB13F-6E01-4217-A892-36011DD85236}" name="Column5"/>
    <tableColumn id="6" xr3:uid="{64C1AA84-BF8F-4F38-9ED2-00BDCB0F7AD8}" name="Column6"/>
    <tableColumn id="7" xr3:uid="{F7194C99-1089-4EB3-B173-C02CFA7D6456}" name="Column7"/>
    <tableColumn id="8" xr3:uid="{0235EDE8-8D89-4A8C-814A-AFDA380130AC}" name="Column8"/>
    <tableColumn id="9" xr3:uid="{BC0EAE2A-52F5-4E22-93A7-D158B6179800}" name="Column9"/>
    <tableColumn id="10" xr3:uid="{31B53F55-EF09-4564-870F-FA14A4BAB8A6}" name="Column10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F8D430-0398-47A3-BF81-5B50AEBC1FDC}" name="Table14" displayName="Table14" ref="A1:J13" totalsRowShown="0" headerRowDxfId="7">
  <autoFilter ref="A1:J13" xr:uid="{47F8D430-0398-47A3-BF81-5B50AEBC1FDC}"/>
  <tableColumns count="10">
    <tableColumn id="1" xr3:uid="{10F972F6-0117-4FD4-8277-575ECD3E3863}" name="Column1"/>
    <tableColumn id="2" xr3:uid="{1E9FD8B8-A228-49DF-A5C9-34577596878F}" name="Column2"/>
    <tableColumn id="3" xr3:uid="{7D17B0B3-A0E8-431E-8398-84AEE1871699}" name="Column3"/>
    <tableColumn id="4" xr3:uid="{48F49546-6A10-47AC-904A-22D43BD7D3EA}" name="Column4"/>
    <tableColumn id="5" xr3:uid="{F2BBD896-DC2C-48FA-962D-150652ADB87E}" name="Column5"/>
    <tableColumn id="6" xr3:uid="{70F010C2-B59A-45A1-9929-A7CFB90E32AF}" name="Column6"/>
    <tableColumn id="7" xr3:uid="{F725923B-A541-4317-B27D-2B2D81EEE9DB}" name="Column7"/>
    <tableColumn id="8" xr3:uid="{890C0EDF-B6A9-49FD-AB7C-AB116EAB5BBA}" name="Column8"/>
    <tableColumn id="9" xr3:uid="{EA9A1ECD-6147-43AA-A311-C58BB349C981}" name="Column9"/>
    <tableColumn id="10" xr3:uid="{96031AA2-6CD6-4D25-A1BE-1243CD447C32}" name="Column10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549543-72B2-436D-A3D5-E4C730682CD3}" name="Table13" displayName="Table13" ref="A1:J14" totalsRowShown="0" headerRowDxfId="6">
  <autoFilter ref="A1:J14" xr:uid="{7E549543-72B2-436D-A3D5-E4C730682CD3}"/>
  <tableColumns count="10">
    <tableColumn id="1" xr3:uid="{D73FCC01-97E2-432B-B172-0FFD96ECCBFB}" name="Column1"/>
    <tableColumn id="2" xr3:uid="{74C5B955-2FDC-4A96-B922-9CF6FFB45A57}" name="Column2"/>
    <tableColumn id="3" xr3:uid="{F8D0D34B-F210-4C8E-805F-4E4A34B3C942}" name="Column3"/>
    <tableColumn id="4" xr3:uid="{FB529FFB-6919-4D96-AD03-BA127E309C03}" name="Column4"/>
    <tableColumn id="5" xr3:uid="{7B511D91-B21D-4D0A-8F99-5CBA99AFF7FB}" name="Column5"/>
    <tableColumn id="6" xr3:uid="{3E79CE6F-DC83-4E49-B4CC-FE5AD5F17C15}" name="Column6"/>
    <tableColumn id="7" xr3:uid="{9DEB75E8-EA89-4024-86A5-C49A6DBE19AB}" name="Column7"/>
    <tableColumn id="8" xr3:uid="{FCC38480-F40A-4D36-96FE-5FF3A0692FF9}" name="Column8"/>
    <tableColumn id="9" xr3:uid="{1C265AB1-0854-43A0-8B30-C37C342168AC}" name="Column9"/>
    <tableColumn id="10" xr3:uid="{5E632B11-204B-4138-969E-787A20174529}" name="Column10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24D0EE-C3EC-4460-8702-A1246D8E74DE}" name="Table11" displayName="Table11" ref="B1:F12" totalsRowShown="0" headerRowDxfId="5">
  <autoFilter ref="B1:F12" xr:uid="{1624D0EE-C3EC-4460-8702-A1246D8E74DE}"/>
  <tableColumns count="5">
    <tableColumn id="1" xr3:uid="{597D5BBC-8C0D-4C27-9840-0C2C5577DCF9}" name="Temp Readings at 1 Metre">
      <calculatedColumnFormula>Exp1_CategoriesofTempreadingRob!B3</calculatedColumnFormula>
    </tableColumn>
    <tableColumn id="3" xr3:uid="{5A1727BE-3D05-4BDD-95B9-8F721610AA5E}" name="Temp Readings at 2 Metres">
      <calculatedColumnFormula>Exp1_CategoriesofTempreadingRob!D3</calculatedColumnFormula>
    </tableColumn>
    <tableColumn id="5" xr3:uid="{153EEBA5-B5DE-4605-95BB-3F04F786AD21}" name="Temp Readings at 3 Metres">
      <calculatedColumnFormula>Exp1_CategoriesofTempreadingRob!F3</calculatedColumnFormula>
    </tableColumn>
    <tableColumn id="7" xr3:uid="{04FB3D5E-3ECD-46E8-A2FF-9339CE595892}" name="Temp Readings at 4 Metres">
      <calculatedColumnFormula>Exp1_CategoriesofTempreadingRob!H3</calculatedColumnFormula>
    </tableColumn>
    <tableColumn id="9" xr3:uid="{D2C75BD3-1618-4B20-83FC-41ABB7A26946}" name="Temp Readings at 5 Metres">
      <calculatedColumnFormula>Exp1_CategoriesofTempreadingRob!J3</calculatedColumnFormula>
    </tableColumn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1DA44F-F3F6-4A21-BF43-6831D44CEDEF}" name="Table9" displayName="Table9" ref="B1:F12" totalsRowShown="0" headerRowDxfId="4">
  <autoFilter ref="B1:F12" xr:uid="{851DA44F-F3F6-4A21-BF43-6831D44CEDEF}"/>
  <tableColumns count="5">
    <tableColumn id="1" xr3:uid="{4E717354-D3AA-4A9C-9715-1A33EE376A93}" name="Temp Readings at 1 Metre">
      <calculatedColumnFormula>Exp1_CategoriesofTempreadingbyR!B3</calculatedColumnFormula>
    </tableColumn>
    <tableColumn id="3" xr3:uid="{C76D6AE3-6B1C-4BE4-85E1-4A056B8E9E1D}" name="Temp Readings at 2 Metres">
      <calculatedColumnFormula>Exp1_CategoriesofTempreadingbyR!D3</calculatedColumnFormula>
    </tableColumn>
    <tableColumn id="5" xr3:uid="{1D1382B8-0FFF-4F49-8896-6157D6E0FBFE}" name="Temp Readings at 3 Metres">
      <calculatedColumnFormula>Exp1_CategoriesofTempreadingbyR!F3</calculatedColumnFormula>
    </tableColumn>
    <tableColumn id="7" xr3:uid="{48392ACA-566B-47E8-9144-D5BBD5FE610C}" name="Temp Readings at 4 Metres">
      <calculatedColumnFormula>Exp1_CategoriesofTempreadingbyR!H3</calculatedColumnFormula>
    </tableColumn>
    <tableColumn id="9" xr3:uid="{C613B9C0-3934-4361-AB03-B2FCB9839C8B}" name="Temp Readings at 5 Metres">
      <calculatedColumnFormula>Exp1_CategoriesofTempreadingbyR!J3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BEDF9F-847C-425F-A409-0ABAB4EA1653}" name="Table7" displayName="Table7" ref="B1:F12" totalsRowShown="0" headerRowDxfId="3">
  <autoFilter ref="B1:F12" xr:uid="{26BEDF9F-847C-425F-A409-0ABAB4EA1653}"/>
  <tableColumns count="5">
    <tableColumn id="1" xr3:uid="{855A507B-0A90-4200-B0BB-3B2EAD1A2D8A}" name="Temp Readings at 1 Metre">
      <calculatedColumnFormula>Exp1_CategoryofTempReadingfromP!B3</calculatedColumnFormula>
    </tableColumn>
    <tableColumn id="3" xr3:uid="{6DB67F8D-88A6-4BB8-8F7E-C32CE13AFB60}" name="Temp Readings at 2 Metres">
      <calculatedColumnFormula>Exp1_CategoryofTempReadingfromP!D3</calculatedColumnFormula>
    </tableColumn>
    <tableColumn id="5" xr3:uid="{829B79D6-CE24-4775-9BFA-A257213B3FD2}" name="Temp Readings at 3 Metres">
      <calculatedColumnFormula>Exp1_CategoryofTempReadingfromP!F3</calculatedColumnFormula>
    </tableColumn>
    <tableColumn id="7" xr3:uid="{A44605ED-2649-4C32-A0C4-FA049AAD6EC3}" name="Temp Readings at 4 Metres">
      <calculatedColumnFormula>Exp1_CategoryofTempReadingfromP!H3</calculatedColumnFormula>
    </tableColumn>
    <tableColumn id="9" xr3:uid="{0736C6BE-234C-41FA-B842-3E3AB31FC479}" name="Temp Readings at 5 Metres">
      <calculatedColumnFormula>Exp1_CategoryofTempReadingfromP!J3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98CB23-E21B-4491-89D2-83FA7F63A1E1}" name="Table6" displayName="Table6" ref="A1:D6" totalsRowShown="0">
  <autoFilter ref="A1:D6" xr:uid="{C398CB23-E21B-4491-89D2-83FA7F63A1E1}"/>
  <tableColumns count="4">
    <tableColumn id="1" xr3:uid="{64A8BF4D-BC58-4033-84DC-6B05129577A4}" name="Distance"/>
    <tableColumn id="2" xr3:uid="{20695898-9BF9-48FE-89CD-4417B8AE9198}" name="Pimoroni MLX90640"/>
    <tableColumn id="3" xr3:uid="{2452E5BF-E47B-4D6B-BCFA-A7457F2CD2AE}" name=" RS PRO T-10"/>
    <tableColumn id="4" xr3:uid="{4E71780B-BED7-4B4A-82A2-AF074E18C9B4}" name="Robotshop MLX90640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B780F-CEAD-4C07-BE7A-20C861606D40}" name="Table1" displayName="Table1" ref="A1:D6" totalsRowShown="0">
  <autoFilter ref="A1:D6" xr:uid="{A86B780F-CEAD-4C07-BE7A-20C861606D40}"/>
  <tableColumns count="4">
    <tableColumn id="1" xr3:uid="{3EE34186-A16E-4A01-A6AE-E74F49F30850}" name="Variance at each Distance"/>
    <tableColumn id="2" xr3:uid="{62D1746F-0A5D-4235-936C-6E87578C2B3E}" name="Pimoroni MLX90640"/>
    <tableColumn id="3" xr3:uid="{C4A844D5-99CE-4B1E-9EB2-E21C6C775142}" name=" RS PRO T-10"/>
    <tableColumn id="4" xr3:uid="{0F286B9B-0EC0-47D6-B8A6-6AE3F771CFA5}" name="Robotshop MLX90640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8B79D-648E-4188-9F81-C520A052DD82}" name="Table2" displayName="Table2" ref="A1:D6" totalsRowShown="0">
  <autoFilter ref="A1:D6" xr:uid="{D008B79D-648E-4188-9F81-C520A052DD82}"/>
  <tableColumns count="4">
    <tableColumn id="1" xr3:uid="{4C18D2AC-34D0-4277-B665-C03A1F8C7014}" name="SD at each Distance"/>
    <tableColumn id="2" xr3:uid="{F40E7C5B-E95F-4CC8-A9FB-CFE7A5BCD258}" name="Pimoroni MLX90640"/>
    <tableColumn id="3" xr3:uid="{89217F87-885F-4060-B932-5CE337688B01}" name=" RS PRO T-10"/>
    <tableColumn id="4" xr3:uid="{3CA99EA7-CF33-4011-B4E6-D89172DE1480}" name="Robotshop MLX90640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7660FF-531E-4F34-9EF0-1757EEEFDE7A}" name="Table3" displayName="Table3" ref="A2:C7" totalsRowShown="0">
  <autoFilter ref="A2:C7" xr:uid="{F77660FF-531E-4F34-9EF0-1757EEEFDE7A}"/>
  <tableColumns count="3">
    <tableColumn id="1" xr3:uid="{BE6207A4-DEB0-48A7-8269-FB4B49B75537}" name="Distance">
      <calculatedColumnFormula>Exp1_averageforeachthermalcamra!A2</calculatedColumnFormula>
    </tableColumn>
    <tableColumn id="2" xr3:uid="{00992482-2A08-43A4-B984-C055D8EAF1D7}" name="Pimoroni MLX90640">
      <calculatedColumnFormula>Exp1_averageforeachthermalcamra!B2</calculatedColumnFormula>
    </tableColumn>
    <tableColumn id="3" xr3:uid="{B73A5EF5-5A10-4496-A398-1CAC257539B2}" name="Pimoroni MLX906402">
      <calculatedColumnFormula>Exp1_SDforeachThermalCamera!B2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61DB1-884F-44CB-8F17-6D05C67B85DE}" name="Table4" displayName="Table4" ref="E2:G7" totalsRowShown="0">
  <autoFilter ref="E2:G7" xr:uid="{B8B61DB1-884F-44CB-8F17-6D05C67B85DE}"/>
  <tableColumns count="3">
    <tableColumn id="1" xr3:uid="{ECE4B2E7-6922-4D25-8C1B-CAB050229A89}" name="Distance"/>
    <tableColumn id="2" xr3:uid="{0E02636D-E640-4460-AB30-62935FCA933C}" name=" RS PRO T-10">
      <calculatedColumnFormula>Exp1_averageforeachthermalcamra!C2</calculatedColumnFormula>
    </tableColumn>
    <tableColumn id="3" xr3:uid="{3C29B064-D400-4DE0-9F0F-8B5FFF3BA0B4}" name=" RS PRO T-102">
      <calculatedColumnFormula>Exp1_SDforeachThermalCamera!C2</calculatedColumnFormula>
    </tableColumn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3D7D73-67EF-4884-A208-37E55AEF17C6}" name="Table5" displayName="Table5" ref="I2:K7" totalsRowShown="0">
  <autoFilter ref="I2:K7" xr:uid="{C13D7D73-67EF-4884-A208-37E55AEF17C6}"/>
  <tableColumns count="3">
    <tableColumn id="1" xr3:uid="{EAD28687-F1B2-436E-86D0-A3458BB3BE59}" name="Distance"/>
    <tableColumn id="2" xr3:uid="{2E12CCCA-F5D8-4784-8FA4-3B589B33211A}" name="Robotshop MLX90640">
      <calculatedColumnFormula>Exp1_averageforeachthermalcamra!D2</calculatedColumnFormula>
    </tableColumn>
    <tableColumn id="3" xr3:uid="{18333C93-D961-460F-B353-87A683816CFE}" name="Robotshop MLX906402">
      <calculatedColumnFormula>Exp1_SDforeachThermalCamera!D2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4942AB5-CE45-46DF-8FB6-83EE9BBA08DB}" name="Table331" displayName="Table331" ref="A2:D7" totalsRowShown="0">
  <autoFilter ref="A2:D7" xr:uid="{54942AB5-CE45-46DF-8FB6-83EE9BBA08DB}"/>
  <tableColumns count="4">
    <tableColumn id="1" xr3:uid="{CF520503-30AA-45CD-B284-1896CDA8BB23}" name="Distance">
      <calculatedColumnFormula>Exp1_averageforeachthermalcamra!A2</calculatedColumnFormula>
    </tableColumn>
    <tableColumn id="2" xr3:uid="{E65C1525-6EE8-40B9-B99B-F3190F049552}" name="Pimoroni MLX90640">
      <calculatedColumnFormula>Exp1_averageforeachthermalcamra!B2</calculatedColumnFormula>
    </tableColumn>
    <tableColumn id="3" xr3:uid="{E45FF65E-FF11-4F33-B378-5FEDC7AD88F7}" name=" RS PRO T-10">
      <calculatedColumnFormula>Exp1_averageforeachthermalcamra!C2</calculatedColumnFormula>
    </tableColumn>
    <tableColumn id="4" xr3:uid="{A2F6F649-D157-4491-959B-561C82E16440}" name="Robotshop MLX90640">
      <calculatedColumnFormula>Exp1_averageforeachthermalcamra!D2</calculatedColumnFormula>
    </tableColumn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4AAA9E-3B9A-4841-8BA9-9652B6BC15CB}" name="Table12" displayName="Table12" ref="A1:F19" totalsRowShown="0">
  <autoFilter ref="A1:F19" xr:uid="{AB4AAA9E-3B9A-4841-8BA9-9652B6BC15CB}"/>
  <tableColumns count="6">
    <tableColumn id="1" xr3:uid="{94447F71-DE77-4E4B-BB84-B5A18DE24E0E}" name="Pimoroni MLX90640 reading taken all cases" dataDxfId="2"/>
    <tableColumn id="2" xr3:uid="{4A918E1B-86AF-4F89-AF9A-8D4C50E68DFE}" name="1 Metre"/>
    <tableColumn id="3" xr3:uid="{42DA4E96-236F-422F-8B82-8DC50A5496D2}" name="2 Metres"/>
    <tableColumn id="4" xr3:uid="{50426796-2A01-42EE-9FF9-8F6D0B410EEF}" name="3 Metres"/>
    <tableColumn id="5" xr3:uid="{5A07B49C-6067-499C-91C4-6F348F95E893}" name="4 Metres"/>
    <tableColumn id="6" xr3:uid="{9D44ED8A-7C32-4A77-A3EE-A85B16951F52}" name="5 Metres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85C5DB-905B-4380-B59D-DF4F1D20A84A}" name="Table10" displayName="Table10" ref="A1:F19" totalsRowShown="0">
  <autoFilter ref="A1:F19" xr:uid="{1185C5DB-905B-4380-B59D-DF4F1D20A84A}"/>
  <tableColumns count="6">
    <tableColumn id="1" xr3:uid="{6F5730AC-A752-4DDE-8DD4-6595B00B600E}" name="RS PRO T-10  reading taken all cases" dataDxfId="1"/>
    <tableColumn id="2" xr3:uid="{9A49550F-0F8C-4B30-85E9-1FB478E68BBA}" name="1 Metre"/>
    <tableColumn id="3" xr3:uid="{DA15D228-E651-4C5A-9484-15C563516EA3}" name="2 Metres"/>
    <tableColumn id="4" xr3:uid="{F355471F-275C-4E41-B694-B7A50E399EB1}" name="3 Metres"/>
    <tableColumn id="5" xr3:uid="{AFBC31CF-67B1-4735-B2CA-9358D88A6A27}" name="4 Metres"/>
    <tableColumn id="6" xr3:uid="{2110C6FF-D7B7-4A45-9333-EB79B0C1FF9F}" name="5 Metres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ACBDEC-0A24-4A00-9787-A5E2DF7DA5CA}" name="Table8" displayName="Table8" ref="A1:F19" totalsRowShown="0">
  <autoFilter ref="A1:F19" xr:uid="{98ACBDEC-0A24-4A00-9787-A5E2DF7DA5CA}"/>
  <tableColumns count="6">
    <tableColumn id="1" xr3:uid="{7E708C18-A5BB-4468-A28E-51CEAD96ABD5}" name="RobotShop MLX90640 reading taken all cases" dataDxfId="0"/>
    <tableColumn id="2" xr3:uid="{485A7250-2A1E-42EB-8A30-FDEB090896C5}" name="1 Metre"/>
    <tableColumn id="3" xr3:uid="{4E83C342-C142-43EF-8547-6DFACD9457B6}" name="2 Metres"/>
    <tableColumn id="4" xr3:uid="{AB5C1672-CD55-4D26-AB68-B75FC2AC7004}" name="3 Metres"/>
    <tableColumn id="5" xr3:uid="{0EEEE377-19EB-445C-8931-53DE60437B60}" name="4 Metres"/>
    <tableColumn id="6" xr3:uid="{6D954D95-4A19-4760-82A6-727E15094298}" name="5 Metr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9.xml"/><Relationship Id="rId4" Type="http://schemas.openxmlformats.org/officeDocument/2006/relationships/table" Target="../tables/table2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2D5A-57A2-4377-87DD-EF0F7B8E836B}">
  <dimension ref="A2:G11"/>
  <sheetViews>
    <sheetView workbookViewId="0">
      <selection activeCell="G26" sqref="G26"/>
    </sheetView>
  </sheetViews>
  <sheetFormatPr defaultRowHeight="14.4" x14ac:dyDescent="0.3"/>
  <cols>
    <col min="1" max="1" width="20.8867187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28.109375" customWidth="1"/>
    <col min="8" max="8" width="9.109375" customWidth="1"/>
  </cols>
  <sheetData>
    <row r="2" spans="1:7" x14ac:dyDescent="0.3">
      <c r="A2" s="1" t="s">
        <v>0</v>
      </c>
      <c r="B2" s="1" t="s">
        <v>68</v>
      </c>
      <c r="C2" s="1" t="s">
        <v>70</v>
      </c>
      <c r="D2" s="1" t="s">
        <v>69</v>
      </c>
      <c r="E2" s="1" t="s">
        <v>71</v>
      </c>
      <c r="F2" s="1" t="s">
        <v>1</v>
      </c>
      <c r="G2" s="1" t="s">
        <v>2</v>
      </c>
    </row>
    <row r="3" spans="1:7" x14ac:dyDescent="0.3">
      <c r="A3" t="s">
        <v>3</v>
      </c>
      <c r="B3">
        <v>34.4</v>
      </c>
      <c r="C3">
        <v>32</v>
      </c>
      <c r="D3">
        <v>34.4</v>
      </c>
      <c r="E3">
        <v>36.799999999999997</v>
      </c>
      <c r="F3">
        <v>1</v>
      </c>
      <c r="G3">
        <v>25.7</v>
      </c>
    </row>
    <row r="4" spans="1:7" x14ac:dyDescent="0.3">
      <c r="A4" t="s">
        <v>4</v>
      </c>
      <c r="B4">
        <v>32.200000000000003</v>
      </c>
      <c r="C4">
        <v>29</v>
      </c>
      <c r="D4">
        <v>32.200000000000003</v>
      </c>
      <c r="E4">
        <v>36.799999999999997</v>
      </c>
      <c r="F4">
        <v>2</v>
      </c>
      <c r="G4">
        <v>25.8</v>
      </c>
    </row>
    <row r="5" spans="1:7" x14ac:dyDescent="0.3">
      <c r="A5" t="s">
        <v>5</v>
      </c>
      <c r="B5">
        <v>31.5</v>
      </c>
      <c r="C5">
        <v>21.5</v>
      </c>
      <c r="D5">
        <v>31</v>
      </c>
      <c r="E5">
        <v>36.799999999999997</v>
      </c>
      <c r="F5">
        <v>3</v>
      </c>
      <c r="G5">
        <v>25.8</v>
      </c>
    </row>
    <row r="6" spans="1:7" x14ac:dyDescent="0.3">
      <c r="A6" t="s">
        <v>6</v>
      </c>
      <c r="B6">
        <v>30.5</v>
      </c>
      <c r="C6">
        <v>21.3</v>
      </c>
      <c r="D6">
        <v>30</v>
      </c>
      <c r="E6">
        <v>36.799999999999997</v>
      </c>
      <c r="F6">
        <v>4</v>
      </c>
      <c r="G6">
        <v>26</v>
      </c>
    </row>
    <row r="7" spans="1:7" x14ac:dyDescent="0.3">
      <c r="A7" t="s">
        <v>7</v>
      </c>
      <c r="B7">
        <v>30</v>
      </c>
      <c r="C7">
        <v>21</v>
      </c>
      <c r="D7">
        <v>30.9</v>
      </c>
      <c r="E7">
        <v>36.799999999999997</v>
      </c>
      <c r="F7">
        <v>5</v>
      </c>
      <c r="G7">
        <v>26</v>
      </c>
    </row>
    <row r="11" spans="1:7" x14ac:dyDescent="0.3">
      <c r="A11" t="s">
        <v>8</v>
      </c>
    </row>
  </sheetData>
  <pageMargins left="0.7" right="0.7" top="0.75" bottom="0.75" header="0.3" footer="0.3"/>
  <pageSetup orientation="portrait" horizontalDpi="4294967292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EF15-CFB4-4A9C-A993-BAF7B06C9920}">
  <dimension ref="A2:G10"/>
  <sheetViews>
    <sheetView workbookViewId="0">
      <selection activeCell="A26" sqref="A26"/>
    </sheetView>
  </sheetViews>
  <sheetFormatPr defaultRowHeight="14.4" x14ac:dyDescent="0.3"/>
  <cols>
    <col min="1" max="1" width="16.88671875" customWidth="1"/>
    <col min="2" max="2" width="32.109375" customWidth="1"/>
    <col min="3" max="3" width="27.44140625" customWidth="1"/>
    <col min="4" max="4" width="33.44140625" customWidth="1"/>
    <col min="5" max="5" width="12.77734375" customWidth="1"/>
    <col min="6" max="6" width="13.77734375" customWidth="1"/>
    <col min="7" max="7" width="28.109375" customWidth="1"/>
  </cols>
  <sheetData>
    <row r="2" spans="1:7" x14ac:dyDescent="0.3">
      <c r="A2" s="1" t="s">
        <v>0</v>
      </c>
      <c r="B2" s="1" t="s">
        <v>68</v>
      </c>
      <c r="C2" s="1" t="s">
        <v>70</v>
      </c>
      <c r="D2" s="1" t="s">
        <v>69</v>
      </c>
      <c r="E2" s="1" t="s">
        <v>71</v>
      </c>
      <c r="F2" s="1" t="s">
        <v>1</v>
      </c>
      <c r="G2" s="1" t="s">
        <v>2</v>
      </c>
    </row>
    <row r="3" spans="1:7" x14ac:dyDescent="0.3">
      <c r="A3" t="s">
        <v>10</v>
      </c>
      <c r="B3">
        <v>31.5</v>
      </c>
      <c r="C3">
        <v>28</v>
      </c>
      <c r="D3">
        <v>31</v>
      </c>
      <c r="E3">
        <v>36.5</v>
      </c>
      <c r="F3">
        <v>5</v>
      </c>
      <c r="G3">
        <v>26.2</v>
      </c>
    </row>
    <row r="4" spans="1:7" x14ac:dyDescent="0.3">
      <c r="A4" t="s">
        <v>11</v>
      </c>
      <c r="B4">
        <v>31.5</v>
      </c>
      <c r="C4">
        <v>29.2</v>
      </c>
      <c r="D4">
        <v>31</v>
      </c>
      <c r="E4">
        <v>36.5</v>
      </c>
      <c r="F4">
        <v>4</v>
      </c>
      <c r="G4">
        <v>26.2</v>
      </c>
    </row>
    <row r="5" spans="1:7" x14ac:dyDescent="0.3">
      <c r="A5" t="s">
        <v>12</v>
      </c>
      <c r="B5">
        <v>32.5</v>
      </c>
      <c r="C5">
        <v>29.5</v>
      </c>
      <c r="D5">
        <v>32</v>
      </c>
      <c r="E5">
        <v>36.5</v>
      </c>
      <c r="F5">
        <v>3</v>
      </c>
      <c r="G5">
        <v>26.2</v>
      </c>
    </row>
    <row r="6" spans="1:7" x14ac:dyDescent="0.3">
      <c r="A6" t="s">
        <v>13</v>
      </c>
      <c r="B6">
        <v>32.9</v>
      </c>
      <c r="C6">
        <v>31</v>
      </c>
      <c r="D6">
        <v>32.9</v>
      </c>
      <c r="E6">
        <v>36.5</v>
      </c>
      <c r="F6">
        <v>2</v>
      </c>
      <c r="G6">
        <v>26.2</v>
      </c>
    </row>
    <row r="7" spans="1:7" x14ac:dyDescent="0.3">
      <c r="A7" t="s">
        <v>9</v>
      </c>
      <c r="B7">
        <v>34.5</v>
      </c>
      <c r="C7">
        <v>33</v>
      </c>
      <c r="D7">
        <v>34.5</v>
      </c>
      <c r="E7">
        <v>36.5</v>
      </c>
      <c r="F7">
        <v>1</v>
      </c>
      <c r="G7">
        <v>26.2</v>
      </c>
    </row>
    <row r="10" spans="1:7" x14ac:dyDescent="0.3">
      <c r="A10" t="s">
        <v>14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142-27C6-452C-95A1-28EB2DD7EC20}">
  <dimension ref="A1:G18"/>
  <sheetViews>
    <sheetView workbookViewId="0">
      <selection activeCell="G15" sqref="G15"/>
    </sheetView>
  </sheetViews>
  <sheetFormatPr defaultRowHeight="14.4" x14ac:dyDescent="0.3"/>
  <cols>
    <col min="1" max="1" width="15.21875" customWidth="1"/>
    <col min="2" max="2" width="37.88671875" customWidth="1"/>
    <col min="3" max="3" width="26.109375" customWidth="1"/>
    <col min="4" max="4" width="33.44140625" customWidth="1"/>
    <col min="5" max="5" width="12.77734375" customWidth="1"/>
    <col min="6" max="6" width="15.44140625" customWidth="1"/>
    <col min="7" max="7" width="28.109375" customWidth="1"/>
    <col min="8" max="8" width="17.77734375" customWidth="1"/>
  </cols>
  <sheetData>
    <row r="1" spans="1:7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</row>
    <row r="2" spans="1:7" x14ac:dyDescent="0.3">
      <c r="A2" t="s">
        <v>15</v>
      </c>
      <c r="B2">
        <v>33.5</v>
      </c>
      <c r="C2">
        <v>31</v>
      </c>
      <c r="D2">
        <v>33.5</v>
      </c>
      <c r="E2">
        <v>36.700000000000003</v>
      </c>
      <c r="F2">
        <v>1</v>
      </c>
      <c r="G2">
        <v>25</v>
      </c>
    </row>
    <row r="3" spans="1:7" x14ac:dyDescent="0.3">
      <c r="A3" t="s">
        <v>16</v>
      </c>
      <c r="B3">
        <v>31.5</v>
      </c>
      <c r="C3">
        <v>29</v>
      </c>
      <c r="D3">
        <v>31</v>
      </c>
      <c r="E3">
        <v>36.700000000000003</v>
      </c>
      <c r="F3">
        <v>2</v>
      </c>
      <c r="G3">
        <v>25</v>
      </c>
    </row>
    <row r="4" spans="1:7" x14ac:dyDescent="0.3">
      <c r="A4" t="s">
        <v>17</v>
      </c>
      <c r="B4">
        <v>29.2</v>
      </c>
      <c r="C4">
        <v>26.5</v>
      </c>
      <c r="D4">
        <v>29</v>
      </c>
      <c r="E4">
        <v>36.700000000000003</v>
      </c>
      <c r="F4">
        <v>3</v>
      </c>
      <c r="G4">
        <v>25</v>
      </c>
    </row>
    <row r="5" spans="1:7" x14ac:dyDescent="0.3">
      <c r="A5" t="s">
        <v>18</v>
      </c>
      <c r="B5">
        <v>29</v>
      </c>
      <c r="C5">
        <v>22</v>
      </c>
      <c r="D5">
        <v>29</v>
      </c>
      <c r="E5">
        <v>36.700000000000003</v>
      </c>
      <c r="F5">
        <v>4</v>
      </c>
      <c r="G5">
        <v>25</v>
      </c>
    </row>
    <row r="6" spans="1:7" x14ac:dyDescent="0.3">
      <c r="A6" t="s">
        <v>19</v>
      </c>
      <c r="B6">
        <v>28</v>
      </c>
      <c r="C6">
        <v>21</v>
      </c>
      <c r="D6">
        <v>28</v>
      </c>
      <c r="E6">
        <v>36.700000000000003</v>
      </c>
      <c r="F6">
        <v>5</v>
      </c>
      <c r="G6">
        <v>25.1</v>
      </c>
    </row>
    <row r="9" spans="1:7" x14ac:dyDescent="0.3">
      <c r="A9" t="s">
        <v>103</v>
      </c>
    </row>
    <row r="18" ht="16.9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561C-6927-4F33-8C9C-7BEAD575CBE4}">
  <dimension ref="A1:G13"/>
  <sheetViews>
    <sheetView workbookViewId="0">
      <selection activeCell="D1" sqref="D1:D6"/>
    </sheetView>
  </sheetViews>
  <sheetFormatPr defaultRowHeight="14.4" x14ac:dyDescent="0.3"/>
  <cols>
    <col min="1" max="1" width="21.664062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30" customWidth="1"/>
  </cols>
  <sheetData>
    <row r="1" spans="1:7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</row>
    <row r="2" spans="1:7" x14ac:dyDescent="0.3">
      <c r="A2" t="s">
        <v>25</v>
      </c>
      <c r="B2">
        <v>34.75</v>
      </c>
      <c r="C2">
        <v>30.1</v>
      </c>
      <c r="D2">
        <v>33.5</v>
      </c>
      <c r="E2">
        <v>36</v>
      </c>
      <c r="F2">
        <v>1</v>
      </c>
      <c r="G2">
        <v>25.7</v>
      </c>
    </row>
    <row r="3" spans="1:7" x14ac:dyDescent="0.3">
      <c r="A3" t="s">
        <v>26</v>
      </c>
      <c r="B3">
        <v>32.25</v>
      </c>
      <c r="C3">
        <v>28.4</v>
      </c>
      <c r="D3">
        <v>31.75</v>
      </c>
      <c r="E3">
        <v>36</v>
      </c>
      <c r="F3">
        <v>2</v>
      </c>
      <c r="G3">
        <v>25.7</v>
      </c>
    </row>
    <row r="4" spans="1:7" x14ac:dyDescent="0.3">
      <c r="A4" t="s">
        <v>27</v>
      </c>
      <c r="B4">
        <v>30.75</v>
      </c>
      <c r="C4">
        <v>28.7</v>
      </c>
      <c r="D4">
        <v>30.25</v>
      </c>
      <c r="E4">
        <v>36</v>
      </c>
      <c r="F4">
        <v>3</v>
      </c>
      <c r="G4">
        <v>25.7</v>
      </c>
    </row>
    <row r="5" spans="1:7" x14ac:dyDescent="0.3">
      <c r="A5" t="s">
        <v>28</v>
      </c>
      <c r="B5">
        <v>30.25</v>
      </c>
      <c r="C5">
        <v>25.3</v>
      </c>
      <c r="D5">
        <v>29.25</v>
      </c>
      <c r="E5">
        <v>36</v>
      </c>
      <c r="F5">
        <v>4</v>
      </c>
      <c r="G5">
        <v>25.7</v>
      </c>
    </row>
    <row r="6" spans="1:7" x14ac:dyDescent="0.3">
      <c r="A6" t="s">
        <v>29</v>
      </c>
      <c r="B6">
        <v>30</v>
      </c>
      <c r="C6">
        <v>25</v>
      </c>
      <c r="D6">
        <v>29.75</v>
      </c>
      <c r="E6">
        <v>36</v>
      </c>
      <c r="F6">
        <v>5</v>
      </c>
      <c r="G6">
        <v>25.7</v>
      </c>
    </row>
    <row r="9" spans="1:7" x14ac:dyDescent="0.3">
      <c r="A9" t="s">
        <v>184</v>
      </c>
      <c r="B9">
        <f>AVERAGE(Table20[Pimoroni MLX90640  (degree Celsius)])</f>
        <v>31.6</v>
      </c>
      <c r="C9">
        <f>AVERAGE(Table20[RS PRO T-10  (degree Celsius)])</f>
        <v>27.5</v>
      </c>
      <c r="D9">
        <f>AVERAGE(Table20[RobotShop MLX90640 (degree Celsius)])</f>
        <v>30.9</v>
      </c>
    </row>
    <row r="12" spans="1:7" x14ac:dyDescent="0.3">
      <c r="A12" t="s">
        <v>103</v>
      </c>
    </row>
    <row r="13" spans="1:7" x14ac:dyDescent="0.3">
      <c r="B13" t="s">
        <v>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1638-3993-493C-867A-DA23971A7189}">
  <dimension ref="A1:G12"/>
  <sheetViews>
    <sheetView workbookViewId="0">
      <selection activeCell="G19" sqref="G19"/>
    </sheetView>
  </sheetViews>
  <sheetFormatPr defaultRowHeight="14.4" x14ac:dyDescent="0.3"/>
  <cols>
    <col min="1" max="1" width="16.4414062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5.44140625" customWidth="1"/>
    <col min="7" max="7" width="28.109375" customWidth="1"/>
  </cols>
  <sheetData>
    <row r="1" spans="1:7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</row>
    <row r="2" spans="1:7" x14ac:dyDescent="0.3">
      <c r="A2" t="s">
        <v>20</v>
      </c>
      <c r="B2">
        <v>34.5</v>
      </c>
      <c r="C2">
        <v>30.4</v>
      </c>
      <c r="D2">
        <v>33.25</v>
      </c>
      <c r="E2">
        <v>36</v>
      </c>
      <c r="F2">
        <v>1</v>
      </c>
      <c r="G2">
        <v>25.8</v>
      </c>
    </row>
    <row r="3" spans="1:7" x14ac:dyDescent="0.3">
      <c r="A3" t="s">
        <v>21</v>
      </c>
      <c r="B3">
        <v>31.75</v>
      </c>
      <c r="C3">
        <v>29.9</v>
      </c>
      <c r="D3">
        <v>31</v>
      </c>
      <c r="E3">
        <v>36</v>
      </c>
      <c r="F3">
        <v>2</v>
      </c>
      <c r="G3">
        <v>25.7</v>
      </c>
    </row>
    <row r="4" spans="1:7" x14ac:dyDescent="0.3">
      <c r="A4" t="s">
        <v>22</v>
      </c>
      <c r="B4">
        <v>30.5</v>
      </c>
      <c r="C4">
        <v>28.7</v>
      </c>
      <c r="D4">
        <v>30.25</v>
      </c>
      <c r="E4">
        <v>36</v>
      </c>
      <c r="F4">
        <v>3</v>
      </c>
      <c r="G4">
        <v>25.7</v>
      </c>
    </row>
    <row r="5" spans="1:7" x14ac:dyDescent="0.3">
      <c r="A5" t="s">
        <v>23</v>
      </c>
      <c r="B5">
        <v>30.25</v>
      </c>
      <c r="C5">
        <v>27.7</v>
      </c>
      <c r="D5">
        <v>29.75</v>
      </c>
      <c r="E5">
        <v>36</v>
      </c>
      <c r="F5">
        <v>4</v>
      </c>
      <c r="G5">
        <v>25.7</v>
      </c>
    </row>
    <row r="6" spans="1:7" x14ac:dyDescent="0.3">
      <c r="A6" t="s">
        <v>24</v>
      </c>
      <c r="B6">
        <v>29.75</v>
      </c>
      <c r="C6">
        <v>25.7</v>
      </c>
      <c r="D6">
        <v>29.75</v>
      </c>
      <c r="E6">
        <v>36</v>
      </c>
      <c r="F6">
        <v>5</v>
      </c>
      <c r="G6">
        <v>25.7</v>
      </c>
    </row>
    <row r="9" spans="1:7" x14ac:dyDescent="0.3">
      <c r="A9" t="s">
        <v>184</v>
      </c>
      <c r="B9">
        <f>AVERAGE(Table21[Pimoroni MLX90640  (degree Celsius)])</f>
        <v>31.35</v>
      </c>
      <c r="C9">
        <f>AVERAGE(Table21[RS PRO T-10  (degree Celsius)])</f>
        <v>28.48</v>
      </c>
      <c r="D9">
        <f>AVERAGE(Table21[RobotShop MLX90640 (degree Celsius)])</f>
        <v>30.8</v>
      </c>
    </row>
    <row r="11" spans="1:7" x14ac:dyDescent="0.3">
      <c r="A11" t="s">
        <v>103</v>
      </c>
    </row>
    <row r="12" spans="1:7" x14ac:dyDescent="0.3">
      <c r="B12" t="s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0192-6A1C-43C0-A5B8-730039A70A26}">
  <dimension ref="A1:I12"/>
  <sheetViews>
    <sheetView topLeftCell="B1" workbookViewId="0">
      <selection activeCell="D2" sqref="D2:D6"/>
    </sheetView>
  </sheetViews>
  <sheetFormatPr defaultRowHeight="14.4" x14ac:dyDescent="0.3"/>
  <cols>
    <col min="1" max="1" width="20.2187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28.109375" customWidth="1"/>
  </cols>
  <sheetData>
    <row r="1" spans="1:9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  <c r="H1" s="1"/>
      <c r="I1" s="1"/>
    </row>
    <row r="2" spans="1:9" x14ac:dyDescent="0.3">
      <c r="A2" t="s">
        <v>30</v>
      </c>
      <c r="B2">
        <v>33.75</v>
      </c>
      <c r="C2">
        <v>30.3</v>
      </c>
      <c r="D2">
        <v>33.5</v>
      </c>
      <c r="E2">
        <v>36.799999999999997</v>
      </c>
      <c r="F2">
        <v>1</v>
      </c>
      <c r="G2">
        <v>25.8</v>
      </c>
    </row>
    <row r="3" spans="1:9" x14ac:dyDescent="0.3">
      <c r="A3" t="s">
        <v>31</v>
      </c>
      <c r="B3">
        <v>31.5</v>
      </c>
      <c r="C3">
        <v>29.3</v>
      </c>
      <c r="D3">
        <v>31.7</v>
      </c>
      <c r="E3">
        <v>36.799999999999997</v>
      </c>
      <c r="F3">
        <v>2</v>
      </c>
      <c r="G3">
        <v>25.7</v>
      </c>
    </row>
    <row r="4" spans="1:9" x14ac:dyDescent="0.3">
      <c r="A4" t="s">
        <v>32</v>
      </c>
      <c r="B4">
        <v>30.2</v>
      </c>
      <c r="C4">
        <v>28.8</v>
      </c>
      <c r="D4">
        <v>30</v>
      </c>
      <c r="E4">
        <v>36.799999999999997</v>
      </c>
      <c r="F4">
        <v>3</v>
      </c>
      <c r="G4">
        <v>25.7</v>
      </c>
    </row>
    <row r="5" spans="1:9" x14ac:dyDescent="0.3">
      <c r="A5" t="s">
        <v>33</v>
      </c>
      <c r="B5">
        <v>29.5</v>
      </c>
      <c r="C5">
        <v>28.3</v>
      </c>
      <c r="D5">
        <v>29</v>
      </c>
      <c r="E5">
        <v>36.799999999999997</v>
      </c>
      <c r="F5">
        <v>4</v>
      </c>
      <c r="G5">
        <v>25.7</v>
      </c>
    </row>
    <row r="6" spans="1:9" x14ac:dyDescent="0.3">
      <c r="A6" t="s">
        <v>34</v>
      </c>
      <c r="B6">
        <v>28.5</v>
      </c>
      <c r="C6">
        <v>28</v>
      </c>
      <c r="D6">
        <v>29</v>
      </c>
      <c r="E6">
        <v>36.799999999999997</v>
      </c>
      <c r="F6">
        <v>5</v>
      </c>
      <c r="G6">
        <v>25.7</v>
      </c>
    </row>
    <row r="9" spans="1:9" x14ac:dyDescent="0.3">
      <c r="A9" t="s">
        <v>184</v>
      </c>
      <c r="B9">
        <f>AVERAGE(Table22[Pimoroni MLX90640  (degree Celsius)])</f>
        <v>30.689999999999998</v>
      </c>
      <c r="C9">
        <f>AVERAGE(Table22[RS PRO T-10  (degree Celsius)])</f>
        <v>28.939999999999998</v>
      </c>
      <c r="D9">
        <f>AVERAGE(Table22[RobotShop MLX90640 (degree Celsius)])</f>
        <v>30.639999999999997</v>
      </c>
    </row>
    <row r="11" spans="1:9" x14ac:dyDescent="0.3">
      <c r="A11" t="s">
        <v>103</v>
      </c>
    </row>
    <row r="12" spans="1:9" x14ac:dyDescent="0.3">
      <c r="C12" t="s">
        <v>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BF14-F08A-4B0E-904E-1E362D646C7C}">
  <dimension ref="A1:I14"/>
  <sheetViews>
    <sheetView workbookViewId="0">
      <selection activeCell="G13" sqref="G13"/>
    </sheetView>
  </sheetViews>
  <sheetFormatPr defaultRowHeight="14.4" x14ac:dyDescent="0.3"/>
  <cols>
    <col min="1" max="1" width="14.2187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28.109375" customWidth="1"/>
    <col min="8" max="8" width="16.6640625" customWidth="1"/>
  </cols>
  <sheetData>
    <row r="1" spans="1:9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  <c r="H1" s="1"/>
      <c r="I1" s="1"/>
    </row>
    <row r="2" spans="1:9" x14ac:dyDescent="0.3">
      <c r="A2" t="s">
        <v>36</v>
      </c>
      <c r="B2">
        <v>32.5</v>
      </c>
      <c r="C2">
        <v>29.8</v>
      </c>
      <c r="D2">
        <v>32.5</v>
      </c>
      <c r="E2">
        <v>36.200000000000003</v>
      </c>
      <c r="F2">
        <v>1</v>
      </c>
      <c r="G2">
        <v>25.8</v>
      </c>
    </row>
    <row r="3" spans="1:9" x14ac:dyDescent="0.3">
      <c r="A3" t="s">
        <v>37</v>
      </c>
      <c r="B3">
        <v>30.75</v>
      </c>
      <c r="C3">
        <v>28.2</v>
      </c>
      <c r="D3">
        <v>30.5</v>
      </c>
      <c r="E3">
        <v>36.200000000000003</v>
      </c>
      <c r="F3">
        <v>2</v>
      </c>
      <c r="G3">
        <v>25.7</v>
      </c>
    </row>
    <row r="4" spans="1:9" x14ac:dyDescent="0.3">
      <c r="A4" t="s">
        <v>38</v>
      </c>
      <c r="B4">
        <v>29.7</v>
      </c>
      <c r="C4">
        <v>25.9</v>
      </c>
      <c r="D4">
        <v>30</v>
      </c>
      <c r="E4">
        <v>36.200000000000003</v>
      </c>
      <c r="F4">
        <v>3</v>
      </c>
      <c r="G4">
        <v>25.7</v>
      </c>
    </row>
    <row r="5" spans="1:9" x14ac:dyDescent="0.3">
      <c r="A5" t="s">
        <v>39</v>
      </c>
      <c r="B5">
        <v>28.75</v>
      </c>
      <c r="C5">
        <v>25.2</v>
      </c>
      <c r="D5">
        <v>29</v>
      </c>
      <c r="E5">
        <v>36.200000000000003</v>
      </c>
      <c r="F5">
        <v>4</v>
      </c>
      <c r="G5">
        <v>25.7</v>
      </c>
    </row>
    <row r="6" spans="1:9" x14ac:dyDescent="0.3">
      <c r="A6" t="s">
        <v>40</v>
      </c>
      <c r="B6">
        <v>24.1</v>
      </c>
      <c r="C6">
        <v>20.2</v>
      </c>
      <c r="D6">
        <v>24</v>
      </c>
      <c r="E6">
        <v>36.200000000000003</v>
      </c>
      <c r="F6">
        <v>5</v>
      </c>
      <c r="G6">
        <v>25.7</v>
      </c>
    </row>
    <row r="9" spans="1:9" x14ac:dyDescent="0.3">
      <c r="A9" t="s">
        <v>184</v>
      </c>
      <c r="B9">
        <f>AVERAGE(Table23[Pimoroni MLX90640  (degree Celsius)])</f>
        <v>29.160000000000004</v>
      </c>
      <c r="C9">
        <f>AVERAGE(Table23[RS PRO T-10  (degree Celsius)])</f>
        <v>25.860000000000003</v>
      </c>
      <c r="D9">
        <f>AVERAGE(Table23[RobotShop MLX90640 (degree Celsius)])</f>
        <v>29.2</v>
      </c>
    </row>
    <row r="13" spans="1:9" x14ac:dyDescent="0.3">
      <c r="A13" t="s">
        <v>103</v>
      </c>
    </row>
    <row r="14" spans="1:9" x14ac:dyDescent="0.3">
      <c r="B14" t="s">
        <v>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0661-7FF7-476F-A719-E785F82B2E5B}">
  <dimension ref="A1:G13"/>
  <sheetViews>
    <sheetView workbookViewId="0">
      <selection activeCell="D2" sqref="D2:D6"/>
    </sheetView>
  </sheetViews>
  <sheetFormatPr defaultRowHeight="14.4" x14ac:dyDescent="0.3"/>
  <cols>
    <col min="1" max="1" width="15.6640625" customWidth="1"/>
    <col min="2" max="2" width="32.109375" customWidth="1"/>
    <col min="3" max="3" width="26.109375" customWidth="1"/>
    <col min="4" max="4" width="33.44140625" customWidth="1"/>
    <col min="5" max="5" width="13.44140625" customWidth="1"/>
    <col min="6" max="6" width="13.77734375" customWidth="1"/>
    <col min="7" max="7" width="28.109375" customWidth="1"/>
  </cols>
  <sheetData>
    <row r="1" spans="1:7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</row>
    <row r="2" spans="1:7" x14ac:dyDescent="0.3">
      <c r="A2" t="s">
        <v>42</v>
      </c>
      <c r="B2">
        <v>32</v>
      </c>
      <c r="C2">
        <v>31.6</v>
      </c>
      <c r="D2">
        <v>32</v>
      </c>
      <c r="E2">
        <v>36.1</v>
      </c>
      <c r="F2">
        <v>1</v>
      </c>
      <c r="G2">
        <v>20.2</v>
      </c>
    </row>
    <row r="3" spans="1:7" x14ac:dyDescent="0.3">
      <c r="A3" t="s">
        <v>43</v>
      </c>
      <c r="B3">
        <v>28.75</v>
      </c>
      <c r="C3">
        <v>30</v>
      </c>
      <c r="D3">
        <v>29</v>
      </c>
      <c r="E3">
        <v>36.1</v>
      </c>
      <c r="F3">
        <v>2</v>
      </c>
      <c r="G3">
        <v>20.2</v>
      </c>
    </row>
    <row r="4" spans="1:7" x14ac:dyDescent="0.3">
      <c r="A4" t="s">
        <v>44</v>
      </c>
      <c r="B4">
        <v>27.8</v>
      </c>
      <c r="C4">
        <v>29</v>
      </c>
      <c r="D4">
        <v>27.25</v>
      </c>
      <c r="E4">
        <v>36.1</v>
      </c>
      <c r="F4">
        <v>3</v>
      </c>
      <c r="G4">
        <v>20.6</v>
      </c>
    </row>
    <row r="5" spans="1:7" x14ac:dyDescent="0.3">
      <c r="A5" t="s">
        <v>45</v>
      </c>
      <c r="B5">
        <v>26.5</v>
      </c>
      <c r="C5">
        <v>28.2</v>
      </c>
      <c r="D5">
        <v>26.5</v>
      </c>
      <c r="E5">
        <v>36.1</v>
      </c>
      <c r="F5">
        <v>4</v>
      </c>
      <c r="G5">
        <v>21</v>
      </c>
    </row>
    <row r="6" spans="1:7" x14ac:dyDescent="0.3">
      <c r="A6" t="s">
        <v>46</v>
      </c>
      <c r="B6">
        <v>25.2</v>
      </c>
      <c r="C6">
        <v>27.5</v>
      </c>
      <c r="D6">
        <v>25</v>
      </c>
      <c r="E6">
        <v>36.1</v>
      </c>
      <c r="F6">
        <v>5</v>
      </c>
      <c r="G6">
        <v>21</v>
      </c>
    </row>
    <row r="9" spans="1:7" x14ac:dyDescent="0.3">
      <c r="A9" t="s">
        <v>184</v>
      </c>
      <c r="B9">
        <f>AVERAGE(Table24[Pimoroni MLX90640  (degree Celsius)])</f>
        <v>28.05</v>
      </c>
      <c r="C9">
        <f>AVERAGE(Table24[RS PRO T-10  (degree Celsius)])</f>
        <v>29.26</v>
      </c>
      <c r="D9">
        <f>AVERAGE(Table24[RobotShop MLX90640 (degree Celsius)])</f>
        <v>27.95</v>
      </c>
    </row>
    <row r="12" spans="1:7" x14ac:dyDescent="0.3">
      <c r="A12" t="s">
        <v>103</v>
      </c>
    </row>
    <row r="13" spans="1:7" x14ac:dyDescent="0.3">
      <c r="B13" t="s">
        <v>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E2C5-362C-4EF3-9AAD-34F745290D8B}">
  <dimension ref="A1:G15"/>
  <sheetViews>
    <sheetView workbookViewId="0">
      <selection activeCell="D2" sqref="D2:D6"/>
    </sheetView>
  </sheetViews>
  <sheetFormatPr defaultRowHeight="14.4" x14ac:dyDescent="0.3"/>
  <cols>
    <col min="1" max="1" width="15.33203125" customWidth="1"/>
    <col min="2" max="2" width="32.109375" customWidth="1"/>
    <col min="3" max="3" width="27.21875" customWidth="1"/>
    <col min="4" max="4" width="33.44140625" customWidth="1"/>
    <col min="5" max="5" width="12.77734375" customWidth="1"/>
    <col min="6" max="6" width="13.77734375" customWidth="1"/>
    <col min="7" max="7" width="28.109375" customWidth="1"/>
  </cols>
  <sheetData>
    <row r="1" spans="1:7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</row>
    <row r="2" spans="1:7" x14ac:dyDescent="0.3">
      <c r="A2" t="s">
        <v>48</v>
      </c>
      <c r="B2">
        <v>32.75</v>
      </c>
      <c r="C2">
        <v>30.9</v>
      </c>
      <c r="D2">
        <v>31.5</v>
      </c>
      <c r="E2">
        <v>36.799999999999997</v>
      </c>
      <c r="F2">
        <v>1</v>
      </c>
      <c r="G2">
        <v>21.7</v>
      </c>
    </row>
    <row r="3" spans="1:7" x14ac:dyDescent="0.3">
      <c r="A3" t="s">
        <v>49</v>
      </c>
      <c r="B3">
        <v>29.25</v>
      </c>
      <c r="C3">
        <v>29.5</v>
      </c>
      <c r="D3">
        <v>28.5</v>
      </c>
      <c r="E3">
        <v>36.799999999999997</v>
      </c>
      <c r="F3">
        <v>2</v>
      </c>
      <c r="G3">
        <v>21.9</v>
      </c>
    </row>
    <row r="4" spans="1:7" x14ac:dyDescent="0.3">
      <c r="A4" t="s">
        <v>50</v>
      </c>
      <c r="B4">
        <v>28.25</v>
      </c>
      <c r="C4">
        <v>28.8</v>
      </c>
      <c r="D4">
        <v>28.5</v>
      </c>
      <c r="E4">
        <v>36.799999999999997</v>
      </c>
      <c r="F4">
        <v>3</v>
      </c>
      <c r="G4">
        <v>21.9</v>
      </c>
    </row>
    <row r="5" spans="1:7" x14ac:dyDescent="0.3">
      <c r="A5" t="s">
        <v>51</v>
      </c>
      <c r="B5">
        <v>27.25</v>
      </c>
      <c r="C5">
        <v>28.5</v>
      </c>
      <c r="D5">
        <v>27</v>
      </c>
      <c r="E5">
        <v>36.799999999999997</v>
      </c>
      <c r="F5">
        <v>4</v>
      </c>
      <c r="G5">
        <v>22</v>
      </c>
    </row>
    <row r="6" spans="1:7" x14ac:dyDescent="0.3">
      <c r="A6" t="s">
        <v>52</v>
      </c>
      <c r="B6">
        <v>27</v>
      </c>
      <c r="C6">
        <v>28.5</v>
      </c>
      <c r="D6">
        <v>26.25</v>
      </c>
      <c r="E6">
        <v>36.799999999999997</v>
      </c>
      <c r="F6">
        <v>5</v>
      </c>
      <c r="G6">
        <v>22.1</v>
      </c>
    </row>
    <row r="9" spans="1:7" x14ac:dyDescent="0.3">
      <c r="A9" t="s">
        <v>184</v>
      </c>
      <c r="B9">
        <f>AVERAGE(Table25[Pimoroni MLX90640  (degree Celsius)])</f>
        <v>28.9</v>
      </c>
      <c r="C9">
        <f>AVERAGE(Table25[RS PRO T-10  (degree Celsius)])</f>
        <v>29.24</v>
      </c>
      <c r="D9">
        <f>AVERAGE(Table25[RobotShop MLX90640 (degree Celsius)])</f>
        <v>28.35</v>
      </c>
    </row>
    <row r="14" spans="1:7" x14ac:dyDescent="0.3">
      <c r="A14" t="s">
        <v>53</v>
      </c>
    </row>
    <row r="15" spans="1:7" x14ac:dyDescent="0.3">
      <c r="B15" t="s">
        <v>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DEB1-1AD0-4FC0-BE41-0D31244F9778}">
  <dimension ref="A1:I15"/>
  <sheetViews>
    <sheetView workbookViewId="0">
      <selection activeCell="G12" sqref="G12"/>
    </sheetView>
  </sheetViews>
  <sheetFormatPr defaultRowHeight="14.4" x14ac:dyDescent="0.3"/>
  <cols>
    <col min="1" max="1" width="14.7773437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28.109375" customWidth="1"/>
  </cols>
  <sheetData>
    <row r="1" spans="1:9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  <c r="H1" s="1"/>
      <c r="I1" s="1"/>
    </row>
    <row r="2" spans="1:9" x14ac:dyDescent="0.3">
      <c r="A2" t="s">
        <v>55</v>
      </c>
      <c r="B2">
        <v>32.5</v>
      </c>
      <c r="C2">
        <v>30.4</v>
      </c>
      <c r="D2">
        <v>32.25</v>
      </c>
      <c r="E2">
        <v>35.6</v>
      </c>
      <c r="F2">
        <v>1</v>
      </c>
      <c r="G2">
        <v>22.6</v>
      </c>
    </row>
    <row r="3" spans="1:9" x14ac:dyDescent="0.3">
      <c r="A3" t="s">
        <v>56</v>
      </c>
      <c r="B3">
        <v>29.5</v>
      </c>
      <c r="C3">
        <v>29.6</v>
      </c>
      <c r="D3">
        <v>29.75</v>
      </c>
      <c r="E3">
        <v>35.6</v>
      </c>
      <c r="F3">
        <v>2</v>
      </c>
      <c r="G3">
        <v>22.6</v>
      </c>
    </row>
    <row r="4" spans="1:9" x14ac:dyDescent="0.3">
      <c r="A4" t="s">
        <v>57</v>
      </c>
      <c r="B4">
        <v>28.75</v>
      </c>
      <c r="C4">
        <v>28</v>
      </c>
      <c r="D4">
        <v>28.75</v>
      </c>
      <c r="E4">
        <v>35.6</v>
      </c>
      <c r="F4">
        <v>3</v>
      </c>
      <c r="G4">
        <v>22.8</v>
      </c>
    </row>
    <row r="5" spans="1:9" x14ac:dyDescent="0.3">
      <c r="A5" t="s">
        <v>58</v>
      </c>
      <c r="B5">
        <v>27.75</v>
      </c>
      <c r="C5">
        <v>26.2</v>
      </c>
      <c r="D5">
        <v>26.2</v>
      </c>
      <c r="E5">
        <v>35.6</v>
      </c>
      <c r="F5">
        <v>4</v>
      </c>
      <c r="G5">
        <v>22.8</v>
      </c>
    </row>
    <row r="6" spans="1:9" x14ac:dyDescent="0.3">
      <c r="A6" t="s">
        <v>59</v>
      </c>
      <c r="B6">
        <v>26.75</v>
      </c>
      <c r="C6">
        <v>26.5</v>
      </c>
      <c r="D6">
        <v>27</v>
      </c>
      <c r="E6">
        <v>35.6</v>
      </c>
      <c r="F6">
        <v>5</v>
      </c>
      <c r="G6">
        <v>22.8</v>
      </c>
    </row>
    <row r="9" spans="1:9" ht="18" x14ac:dyDescent="0.3">
      <c r="A9" t="s">
        <v>184</v>
      </c>
      <c r="B9">
        <f>AVERAGE(Table26[Pimoroni MLX90640  (degree Celsius)])</f>
        <v>29.05</v>
      </c>
      <c r="C9">
        <f>AVERAGE(Table26[RS PRO T-10  (degree Celsius)])</f>
        <v>28.139999999999997</v>
      </c>
      <c r="D9">
        <f>AVERAGE(Table26[RobotShop MLX90640 (degree Celsius)])</f>
        <v>28.79</v>
      </c>
      <c r="H9" s="2"/>
    </row>
    <row r="13" spans="1:9" x14ac:dyDescent="0.3">
      <c r="A13" t="s">
        <v>125</v>
      </c>
    </row>
    <row r="15" spans="1:9" x14ac:dyDescent="0.3">
      <c r="B15" t="s">
        <v>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7982-B3A1-4120-A1C6-1C14525734C1}">
  <dimension ref="A1:I14"/>
  <sheetViews>
    <sheetView workbookViewId="0">
      <selection activeCell="D2" sqref="D2:D6"/>
    </sheetView>
  </sheetViews>
  <sheetFormatPr defaultRowHeight="14.4" x14ac:dyDescent="0.3"/>
  <cols>
    <col min="1" max="1" width="17.109375" customWidth="1"/>
    <col min="2" max="2" width="32.109375" customWidth="1"/>
    <col min="3" max="3" width="26.109375" customWidth="1"/>
    <col min="4" max="4" width="33.44140625" customWidth="1"/>
    <col min="5" max="5" width="12.77734375" customWidth="1"/>
    <col min="6" max="6" width="13.77734375" customWidth="1"/>
    <col min="7" max="7" width="28.109375" customWidth="1"/>
  </cols>
  <sheetData>
    <row r="1" spans="1:9" x14ac:dyDescent="0.3">
      <c r="A1" s="1" t="s">
        <v>0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1</v>
      </c>
      <c r="G1" s="1" t="s">
        <v>2</v>
      </c>
      <c r="H1" s="1"/>
      <c r="I1" s="1"/>
    </row>
    <row r="2" spans="1:9" x14ac:dyDescent="0.3">
      <c r="A2" t="s">
        <v>62</v>
      </c>
      <c r="B2">
        <v>32.200000000000003</v>
      </c>
      <c r="C2">
        <v>30.1</v>
      </c>
      <c r="D2">
        <v>31.5</v>
      </c>
      <c r="E2">
        <v>36.9</v>
      </c>
      <c r="F2">
        <v>1</v>
      </c>
      <c r="G2">
        <v>22.6</v>
      </c>
    </row>
    <row r="3" spans="1:9" x14ac:dyDescent="0.3">
      <c r="A3" t="s">
        <v>63</v>
      </c>
      <c r="B3">
        <v>30.5</v>
      </c>
      <c r="C3">
        <v>30</v>
      </c>
      <c r="D3">
        <v>29.25</v>
      </c>
      <c r="E3">
        <v>36.9</v>
      </c>
      <c r="F3">
        <v>2</v>
      </c>
      <c r="G3">
        <v>22.6</v>
      </c>
    </row>
    <row r="4" spans="1:9" x14ac:dyDescent="0.3">
      <c r="A4" t="s">
        <v>64</v>
      </c>
      <c r="B4">
        <v>29.75</v>
      </c>
      <c r="C4">
        <v>28.8</v>
      </c>
      <c r="D4">
        <v>28.5</v>
      </c>
      <c r="E4">
        <v>36.9</v>
      </c>
      <c r="F4">
        <v>3</v>
      </c>
      <c r="G4">
        <v>22.8</v>
      </c>
    </row>
    <row r="5" spans="1:9" x14ac:dyDescent="0.3">
      <c r="A5" t="s">
        <v>65</v>
      </c>
      <c r="B5">
        <v>28.75</v>
      </c>
      <c r="C5">
        <v>27.5</v>
      </c>
      <c r="D5">
        <v>28</v>
      </c>
      <c r="E5">
        <v>36.9</v>
      </c>
      <c r="F5">
        <v>4</v>
      </c>
      <c r="G5">
        <v>22.8</v>
      </c>
    </row>
    <row r="6" spans="1:9" x14ac:dyDescent="0.3">
      <c r="A6" t="s">
        <v>66</v>
      </c>
      <c r="B6">
        <v>28.25</v>
      </c>
      <c r="C6">
        <v>27.4</v>
      </c>
      <c r="D6">
        <v>27.5</v>
      </c>
      <c r="E6">
        <v>36.9</v>
      </c>
      <c r="F6">
        <v>5</v>
      </c>
      <c r="G6">
        <v>22.8</v>
      </c>
    </row>
    <row r="9" spans="1:9" x14ac:dyDescent="0.3">
      <c r="A9" t="s">
        <v>184</v>
      </c>
      <c r="B9">
        <f>AVERAGE(Table16[Pimoroni MLX90640  (degree Celsius)])</f>
        <v>29.889999999999997</v>
      </c>
      <c r="C9">
        <f>AVERAGE(Table16[RS PRO T-10  (degree Celsius)])</f>
        <v>28.76</v>
      </c>
      <c r="D9">
        <f>AVERAGE(Table16[RobotShop MLX90640 (degree Celsius)])</f>
        <v>28.95</v>
      </c>
    </row>
    <row r="12" spans="1:9" ht="18" x14ac:dyDescent="0.3">
      <c r="G12" s="2"/>
    </row>
    <row r="13" spans="1:9" x14ac:dyDescent="0.3">
      <c r="A13" t="s">
        <v>60</v>
      </c>
    </row>
    <row r="14" spans="1:9" x14ac:dyDescent="0.3">
      <c r="B14" t="s">
        <v>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D381-14A4-4A9C-8B7E-8268DAEBC8E5}">
  <dimension ref="A1:J14"/>
  <sheetViews>
    <sheetView workbookViewId="0">
      <selection activeCell="B3" sqref="B3:H3"/>
    </sheetView>
  </sheetViews>
  <sheetFormatPr defaultRowHeight="14.4" x14ac:dyDescent="0.3"/>
  <cols>
    <col min="1" max="1" width="58.77734375" customWidth="1"/>
    <col min="2" max="2" width="21.44140625" customWidth="1"/>
    <col min="3" max="3" width="9.88671875" customWidth="1"/>
    <col min="4" max="4" width="22.44140625" customWidth="1"/>
    <col min="5" max="5" width="9.88671875" customWidth="1"/>
    <col min="6" max="6" width="21.77734375" customWidth="1"/>
    <col min="7" max="7" width="9.88671875" customWidth="1"/>
    <col min="8" max="8" width="21.21875" customWidth="1"/>
    <col min="9" max="9" width="9.88671875" customWidth="1"/>
    <col min="10" max="10" width="21.77734375" customWidth="1"/>
    <col min="11" max="11" width="21.44140625" customWidth="1"/>
  </cols>
  <sheetData>
    <row r="1" spans="1:10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3">
      <c r="A2" s="1" t="s">
        <v>85</v>
      </c>
      <c r="B2" s="1" t="s">
        <v>78</v>
      </c>
      <c r="C2" s="1"/>
      <c r="D2" s="1" t="s">
        <v>77</v>
      </c>
      <c r="E2" s="1"/>
      <c r="F2" s="1" t="s">
        <v>79</v>
      </c>
      <c r="G2" s="1"/>
      <c r="H2" s="1" t="s">
        <v>80</v>
      </c>
      <c r="I2" s="1"/>
      <c r="J2" s="1" t="s">
        <v>81</v>
      </c>
    </row>
    <row r="3" spans="1:10" x14ac:dyDescent="0.3">
      <c r="A3" t="s">
        <v>72</v>
      </c>
      <c r="B3">
        <f>Exp1_Tempreintervalof10mins_1!B3</f>
        <v>34.4</v>
      </c>
      <c r="D3">
        <f>Exp1_Tempreintervalof10mins_1!B4</f>
        <v>32.200000000000003</v>
      </c>
      <c r="F3">
        <f>Exp1_Tempreintervalof10mins_1!B5</f>
        <v>31.5</v>
      </c>
      <c r="H3">
        <f>Exp1_Tempreintervalof10mins_1!B6</f>
        <v>30.5</v>
      </c>
      <c r="J3">
        <f>Exp1_Tempreintervalof10mins_1!B7</f>
        <v>30</v>
      </c>
    </row>
    <row r="4" spans="1:10" x14ac:dyDescent="0.3">
      <c r="A4" t="s">
        <v>73</v>
      </c>
      <c r="B4">
        <f>Exp1_Tempreadintervalof2min_2!B7</f>
        <v>34.5</v>
      </c>
      <c r="D4">
        <f>Exp1_Tempreadintervalof2min_2!B6</f>
        <v>32.9</v>
      </c>
      <c r="F4">
        <f>Exp1_Tempreadintervalof2min_2!B5</f>
        <v>32.5</v>
      </c>
      <c r="H4">
        <f>Exp1_Tempreadintervalof2min_2!B6</f>
        <v>32.9</v>
      </c>
      <c r="J4">
        <f>Exp1_Tempreadintervalof2min_2!B3</f>
        <v>31.5</v>
      </c>
    </row>
    <row r="5" spans="1:10" x14ac:dyDescent="0.3">
      <c r="A5" t="s">
        <v>74</v>
      </c>
      <c r="B5">
        <f>Exp1_Tempreadingradomlypicked_3!B2</f>
        <v>33.5</v>
      </c>
      <c r="D5">
        <f>Exp1_Tempreadingradomlypicked_3!B3</f>
        <v>31.5</v>
      </c>
      <c r="F5">
        <f>Exp1_Tempreadingradomlypicked_3!B4</f>
        <v>29.2</v>
      </c>
      <c r="H5">
        <f>Exp1_Tempreadingradomlypicked_3!B5</f>
        <v>29</v>
      </c>
      <c r="J5">
        <f>Exp1_Tempreadingradomlypicked_3!B6</f>
        <v>28</v>
      </c>
    </row>
    <row r="6" spans="1:10" x14ac:dyDescent="0.3">
      <c r="A6" t="s">
        <v>120</v>
      </c>
      <c r="B6">
        <f>Exp1_bodydarkskinemissivity1_4!B2</f>
        <v>34.75</v>
      </c>
      <c r="D6">
        <f>Exp1_bodydarkskinemissivity1_4!B3</f>
        <v>32.25</v>
      </c>
      <c r="F6">
        <f>Exp1_bodydarkskinemissivity1_4!B4</f>
        <v>30.75</v>
      </c>
      <c r="H6">
        <f>Exp1_bodydarkskinemissivity1_4!B5</f>
        <v>30.25</v>
      </c>
      <c r="J6">
        <f>Exp1_bodydarkskinemissivity1_4!B6</f>
        <v>30</v>
      </c>
    </row>
    <row r="7" spans="1:10" x14ac:dyDescent="0.3">
      <c r="A7" t="s">
        <v>121</v>
      </c>
      <c r="B7">
        <f>Exp1_Bodydarkskinemissivity_5!B2</f>
        <v>34.5</v>
      </c>
      <c r="D7">
        <f>Exp1_Bodydarkskinemissivity_5!B3</f>
        <v>31.75</v>
      </c>
      <c r="F7">
        <f>Exp1_Bodydarkskinemissivity_5!B4</f>
        <v>30.5</v>
      </c>
      <c r="H7">
        <f>Exp1_Bodydarkskinemissivity_5!B5</f>
        <v>30.25</v>
      </c>
      <c r="J7">
        <f>Exp1_Bodydarkskinemissivity_5!B6</f>
        <v>29.75</v>
      </c>
    </row>
    <row r="8" spans="1:10" x14ac:dyDescent="0.3">
      <c r="A8" t="s">
        <v>122</v>
      </c>
      <c r="B8">
        <f>Exp1_bodylightskinemmisivity_6!B2</f>
        <v>33.75</v>
      </c>
      <c r="D8">
        <f>Exp1_bodylightskinemmisivity_6!B3</f>
        <v>31.5</v>
      </c>
      <c r="F8">
        <f>Exp1_bodylightskinemmisivity_6!B4</f>
        <v>30.2</v>
      </c>
      <c r="H8">
        <f>Exp1_bodylightskinemmisivity_6!B5</f>
        <v>29.5</v>
      </c>
      <c r="J8">
        <f>Exp1_bodylightskinemmisivity_6!B6</f>
        <v>28.5</v>
      </c>
    </row>
    <row r="9" spans="1:10" x14ac:dyDescent="0.3">
      <c r="A9" t="s">
        <v>75</v>
      </c>
      <c r="B9">
        <f>Exp1_bodylightskinemmisivity1_7!B2</f>
        <v>32.5</v>
      </c>
      <c r="D9">
        <f>Exp1_bodylightskinemmisivity1_7!B3</f>
        <v>30.75</v>
      </c>
      <c r="F9">
        <f>Exp1_bodylightskinemmisivity1_7!B4</f>
        <v>29.7</v>
      </c>
      <c r="H9">
        <f>Exp1_bodylightskinemmisivity1_7!B5</f>
        <v>28.75</v>
      </c>
      <c r="J9">
        <f>Exp1_bodylightskinemmisivity1_7!B6</f>
        <v>24.1</v>
      </c>
    </row>
    <row r="10" spans="1:10" x14ac:dyDescent="0.3">
      <c r="A10" t="s">
        <v>123</v>
      </c>
      <c r="B10">
        <f>Exp1_Lightskinlowtempnaturalh_8!B2</f>
        <v>32</v>
      </c>
      <c r="D10">
        <f>Exp1_Lightskinlowtempnaturalh_8!B3</f>
        <v>28.75</v>
      </c>
      <c r="F10">
        <f>Exp1_Lightskinlowtempnaturalh_8!B4</f>
        <v>27.8</v>
      </c>
      <c r="H10">
        <f>Exp1_Lightskinlowtempnaturalh_8!B5</f>
        <v>26.5</v>
      </c>
      <c r="J10">
        <f>Exp1_Lightskinlowtempnaturalh_8!B6</f>
        <v>25.2</v>
      </c>
    </row>
    <row r="11" spans="1:10" x14ac:dyDescent="0.3">
      <c r="A11" t="s">
        <v>124</v>
      </c>
      <c r="B11">
        <f>Exp1_Darkskinlowtempnaturalho_9!B2</f>
        <v>32.75</v>
      </c>
      <c r="D11">
        <f>Exp1_Darkskinlowtempnaturalho_9!B3</f>
        <v>29.25</v>
      </c>
      <c r="F11">
        <f>Exp1_Darkskinlowtempnaturalho_9!B4</f>
        <v>28.25</v>
      </c>
      <c r="H11">
        <f>Exp1_Darkskinlowtempnaturalho_9!B5</f>
        <v>27.25</v>
      </c>
      <c r="J11">
        <f>Exp1_Darkskinlowtempnaturalho_9!B6</f>
        <v>27</v>
      </c>
    </row>
    <row r="12" spans="1:10" x14ac:dyDescent="0.3">
      <c r="A12" t="s">
        <v>82</v>
      </c>
      <c r="B12">
        <f>Exp1_Darksknlowtepartificial_10!B2</f>
        <v>32.5</v>
      </c>
      <c r="D12">
        <f>Exp1_Darksknlowtepartificial_10!B3</f>
        <v>29.5</v>
      </c>
      <c r="F12">
        <f>Exp1_Darksknlowtepartificial_10!B4</f>
        <v>28.75</v>
      </c>
      <c r="H12">
        <f>Exp1_Darksknlowtepartificial_10!B5</f>
        <v>27.75</v>
      </c>
      <c r="J12">
        <f>Exp1_Darksknlowtepartificial_10!B6</f>
        <v>26.75</v>
      </c>
    </row>
    <row r="13" spans="1:10" x14ac:dyDescent="0.3">
      <c r="A13" t="s">
        <v>86</v>
      </c>
      <c r="B13">
        <f>Exp1_lghtsknlowtempartificia_11!B2</f>
        <v>32.200000000000003</v>
      </c>
      <c r="D13">
        <f>Exp1_lghtsknlowtempartificia_11!B3</f>
        <v>30.5</v>
      </c>
      <c r="F13">
        <f>Exp1_lghtsknlowtempartificia_11!B4</f>
        <v>29.75</v>
      </c>
      <c r="H13">
        <f>Exp1_lghtsknlowtempartificia_11!B5</f>
        <v>28.75</v>
      </c>
      <c r="J13">
        <f>Exp1_lghtsknlowtempartificia_11!B6</f>
        <v>28.25</v>
      </c>
    </row>
    <row r="14" spans="1:10" x14ac:dyDescent="0.3">
      <c r="A14" t="s">
        <v>88</v>
      </c>
      <c r="B14">
        <f>AVERAGE(B3:B13)</f>
        <v>33.395454545454541</v>
      </c>
      <c r="D14">
        <f>AVERAGE(D3:D13)</f>
        <v>30.986363636363638</v>
      </c>
      <c r="F14">
        <f>AVERAGE(F3:F13)</f>
        <v>29.9</v>
      </c>
      <c r="H14">
        <f>AVERAGE(H3:H13)</f>
        <v>29.218181818181815</v>
      </c>
      <c r="J14">
        <f>AVERAGE(J3:J13)</f>
        <v>28.09545454545454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31AF-98F7-4514-92E3-6C35D0A50E17}">
  <dimension ref="A1:J16"/>
  <sheetViews>
    <sheetView topLeftCell="A19" workbookViewId="0">
      <selection activeCell="J2" sqref="J2:J14"/>
    </sheetView>
  </sheetViews>
  <sheetFormatPr defaultRowHeight="14.4" x14ac:dyDescent="0.3"/>
  <cols>
    <col min="1" max="1" width="59.109375" customWidth="1"/>
    <col min="2" max="2" width="21" customWidth="1"/>
    <col min="3" max="3" width="9.88671875" customWidth="1"/>
    <col min="4" max="4" width="22.21875" customWidth="1"/>
    <col min="5" max="5" width="9.88671875" customWidth="1"/>
    <col min="6" max="6" width="21.88671875" customWidth="1"/>
    <col min="7" max="7" width="9.88671875" customWidth="1"/>
    <col min="8" max="8" width="21.6640625" customWidth="1"/>
    <col min="9" max="9" width="9.88671875" customWidth="1"/>
    <col min="10" max="10" width="21.88671875" customWidth="1"/>
    <col min="11" max="11" width="21.6640625" customWidth="1"/>
  </cols>
  <sheetData>
    <row r="1" spans="1:10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3">
      <c r="A2" s="1" t="s">
        <v>87</v>
      </c>
      <c r="B2" s="1" t="s">
        <v>78</v>
      </c>
      <c r="C2" s="1"/>
      <c r="D2" s="1" t="s">
        <v>77</v>
      </c>
      <c r="E2" s="1"/>
      <c r="F2" s="1" t="s">
        <v>79</v>
      </c>
      <c r="G2" s="1"/>
      <c r="H2" s="1" t="s">
        <v>80</v>
      </c>
      <c r="I2" s="1"/>
      <c r="J2" s="1" t="s">
        <v>81</v>
      </c>
    </row>
    <row r="3" spans="1:10" x14ac:dyDescent="0.3">
      <c r="A3" t="s">
        <v>72</v>
      </c>
      <c r="B3">
        <f>Exp1_Tempreintervalof10mins_1!C3</f>
        <v>32</v>
      </c>
      <c r="D3">
        <f>Exp1_Tempreintervalof10mins_1!C4</f>
        <v>29</v>
      </c>
      <c r="F3">
        <f>Exp1_Tempreintervalof10mins_1!C5</f>
        <v>21.5</v>
      </c>
      <c r="H3">
        <f>Exp1_Tempreintervalof10mins_1!C6</f>
        <v>21.3</v>
      </c>
      <c r="J3">
        <f>Exp1_Tempreintervalof10mins_1!C7</f>
        <v>21</v>
      </c>
    </row>
    <row r="4" spans="1:10" x14ac:dyDescent="0.3">
      <c r="A4" t="s">
        <v>73</v>
      </c>
      <c r="B4">
        <f>Exp1_Tempreadintervalof2min_2!C7</f>
        <v>33</v>
      </c>
      <c r="D4">
        <f>Exp1_Tempreadintervalof2min_2!C6</f>
        <v>31</v>
      </c>
      <c r="F4">
        <f>Exp1_Tempreadintervalof2min_2!C5</f>
        <v>29.5</v>
      </c>
      <c r="H4">
        <f>Exp1_Tempreadintervalof2min_2!C4</f>
        <v>29.2</v>
      </c>
      <c r="J4">
        <f>Exp1_Tempreadintervalof2min_2!C3</f>
        <v>28</v>
      </c>
    </row>
    <row r="5" spans="1:10" x14ac:dyDescent="0.3">
      <c r="A5" t="s">
        <v>74</v>
      </c>
      <c r="B5">
        <f>Exp1_Tempreadingradomlypicked_3!C2</f>
        <v>31</v>
      </c>
      <c r="D5">
        <f>Exp1_Tempreadingradomlypicked_3!C3</f>
        <v>29</v>
      </c>
      <c r="F5">
        <f>Exp1_Tempreadingradomlypicked_3!C4</f>
        <v>26.5</v>
      </c>
      <c r="H5">
        <f>Exp1_Tempreadingradomlypicked_3!C5</f>
        <v>22</v>
      </c>
      <c r="J5">
        <f>Exp1_Tempreadingradomlypicked_3!C6</f>
        <v>21</v>
      </c>
    </row>
    <row r="6" spans="1:10" x14ac:dyDescent="0.3">
      <c r="A6" t="s">
        <v>120</v>
      </c>
      <c r="B6">
        <f>Exp1_bodydarkskinemissivity1_4!C2</f>
        <v>30.1</v>
      </c>
      <c r="D6">
        <f>Exp1_bodydarkskinemissivity1_4!C3</f>
        <v>28.4</v>
      </c>
      <c r="F6">
        <f>Exp1_bodydarkskinemissivity1_4!C4</f>
        <v>28.7</v>
      </c>
      <c r="H6">
        <f>Exp1_bodydarkskinemissivity1_4!C5</f>
        <v>25.3</v>
      </c>
      <c r="J6">
        <f>Exp1_bodydarkskinemissivity1_4!C6</f>
        <v>25</v>
      </c>
    </row>
    <row r="7" spans="1:10" x14ac:dyDescent="0.3">
      <c r="A7" t="s">
        <v>121</v>
      </c>
      <c r="B7">
        <f>Exp1_Bodydarkskinemissivity_5!C2</f>
        <v>30.4</v>
      </c>
      <c r="D7">
        <f>Exp1_Bodydarkskinemissivity_5!C3</f>
        <v>29.9</v>
      </c>
      <c r="F7">
        <f>Exp1_Bodydarkskinemissivity_5!C4</f>
        <v>28.7</v>
      </c>
      <c r="H7">
        <f>Exp1_Bodydarkskinemissivity_5!C5</f>
        <v>27.7</v>
      </c>
      <c r="J7">
        <f>Exp1_Bodydarkskinemissivity_5!C6</f>
        <v>25.7</v>
      </c>
    </row>
    <row r="8" spans="1:10" x14ac:dyDescent="0.3">
      <c r="A8" t="s">
        <v>122</v>
      </c>
      <c r="B8">
        <f>Exp1_bodylightskinemmisivity_6!C2</f>
        <v>30.3</v>
      </c>
      <c r="D8">
        <f>Exp1_bodylightskinemmisivity_6!C3</f>
        <v>29.3</v>
      </c>
      <c r="F8">
        <f>Exp1_bodylightskinemmisivity_6!C4</f>
        <v>28.8</v>
      </c>
      <c r="H8">
        <f>Exp1_bodylightskinemmisivity_6!C5</f>
        <v>28.3</v>
      </c>
      <c r="J8">
        <f>Exp1_bodylightskinemmisivity_6!C6</f>
        <v>28</v>
      </c>
    </row>
    <row r="9" spans="1:10" x14ac:dyDescent="0.3">
      <c r="A9" t="s">
        <v>75</v>
      </c>
      <c r="B9">
        <f>Exp1_bodylightskinemmisivity1_7!C2</f>
        <v>29.8</v>
      </c>
      <c r="D9">
        <f>Exp1_bodylightskinemmisivity1_7!C3</f>
        <v>28.2</v>
      </c>
      <c r="F9">
        <f>Exp1_bodylightskinemmisivity1_7!C4</f>
        <v>25.9</v>
      </c>
      <c r="H9">
        <f>Exp1_bodylightskinemmisivity1_7!C5</f>
        <v>25.2</v>
      </c>
      <c r="J9">
        <f>Exp1_bodylightskinemmisivity1_7!C6</f>
        <v>20.2</v>
      </c>
    </row>
    <row r="10" spans="1:10" x14ac:dyDescent="0.3">
      <c r="A10" t="s">
        <v>123</v>
      </c>
      <c r="B10">
        <f>Exp1_Lightskinlowtempnaturalh_8!C2</f>
        <v>31.6</v>
      </c>
      <c r="D10">
        <f>Exp1_Lightskinlowtempnaturalh_8!C3</f>
        <v>30</v>
      </c>
      <c r="F10">
        <f>Exp1_Lightskinlowtempnaturalh_8!C4</f>
        <v>29</v>
      </c>
      <c r="H10">
        <f>Exp1_Lightskinlowtempnaturalh_8!C5</f>
        <v>28.2</v>
      </c>
      <c r="J10">
        <f>Exp1_Lightskinlowtempnaturalh_8!C6</f>
        <v>27.5</v>
      </c>
    </row>
    <row r="11" spans="1:10" x14ac:dyDescent="0.3">
      <c r="A11" t="s">
        <v>124</v>
      </c>
      <c r="B11">
        <f>Exp1_Darkskinlowtempnaturalho_9!C2</f>
        <v>30.9</v>
      </c>
      <c r="D11">
        <f>Exp1_Darkskinlowtempnaturalho_9!C3</f>
        <v>29.5</v>
      </c>
      <c r="F11">
        <f>Exp1_Darkskinlowtempnaturalho_9!C4</f>
        <v>28.8</v>
      </c>
      <c r="H11">
        <f>Exp1_Darkskinlowtempnaturalho_9!C5</f>
        <v>28.5</v>
      </c>
      <c r="J11">
        <f>Exp1_Darkskinlowtempnaturalho_9!C6</f>
        <v>28.5</v>
      </c>
    </row>
    <row r="12" spans="1:10" x14ac:dyDescent="0.3">
      <c r="A12" t="s">
        <v>82</v>
      </c>
      <c r="B12">
        <f>Exp1_Darksknlowtepartificial_10!C2</f>
        <v>30.4</v>
      </c>
      <c r="D12">
        <f>Exp1_Darksknlowtepartificial_10!C3</f>
        <v>29.6</v>
      </c>
      <c r="F12">
        <f>Exp1_Darksknlowtepartificial_10!C4</f>
        <v>28</v>
      </c>
      <c r="H12">
        <f>Exp1_Darksknlowtepartificial_10!C5</f>
        <v>26.2</v>
      </c>
      <c r="J12">
        <f>Exp1_Darksknlowtepartificial_10!C6</f>
        <v>26.5</v>
      </c>
    </row>
    <row r="13" spans="1:10" x14ac:dyDescent="0.3">
      <c r="A13" t="s">
        <v>86</v>
      </c>
      <c r="B13">
        <f>Exp1_lghtsknlowtempartificia_11!C2</f>
        <v>30.1</v>
      </c>
      <c r="D13">
        <f>Exp1_lghtsknlowtempartificia_11!C3</f>
        <v>30</v>
      </c>
      <c r="F13">
        <f>Exp1_lghtsknlowtempartificia_11!C4</f>
        <v>28.8</v>
      </c>
      <c r="H13">
        <f>Exp1_lghtsknlowtempartificia_11!C5</f>
        <v>27.5</v>
      </c>
      <c r="J13">
        <f>Exp1_lghtsknlowtempartificia_11!C6</f>
        <v>27.4</v>
      </c>
    </row>
    <row r="14" spans="1:10" x14ac:dyDescent="0.3">
      <c r="A14" s="1" t="s">
        <v>88</v>
      </c>
      <c r="B14">
        <f>AVERAGE(B3:B13)</f>
        <v>30.872727272727275</v>
      </c>
      <c r="D14">
        <f>AVERAGE(D3:D13)</f>
        <v>29.445454545454549</v>
      </c>
      <c r="F14">
        <f>AVERAGE(F3:F13)</f>
        <v>27.65454545454546</v>
      </c>
      <c r="H14">
        <f>AVERAGE(H3:H13)</f>
        <v>26.309090909090909</v>
      </c>
      <c r="J14">
        <f>AVERAGE(J3:J13)</f>
        <v>25.34545454545454</v>
      </c>
    </row>
    <row r="16" spans="1:10" x14ac:dyDescent="0.3">
      <c r="A16" s="1"/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12AA-8FD0-49AA-A4CF-DC927BD0ADF4}">
  <dimension ref="A1:J15"/>
  <sheetViews>
    <sheetView workbookViewId="0">
      <selection activeCell="A15" sqref="A15"/>
    </sheetView>
  </sheetViews>
  <sheetFormatPr defaultRowHeight="14.4" x14ac:dyDescent="0.3"/>
  <cols>
    <col min="1" max="1" width="59" customWidth="1"/>
    <col min="2" max="2" width="20.88671875" customWidth="1"/>
    <col min="3" max="3" width="9.88671875" customWidth="1"/>
    <col min="4" max="4" width="22" customWidth="1"/>
    <col min="5" max="5" width="9.88671875" customWidth="1"/>
    <col min="6" max="6" width="21.6640625" customWidth="1"/>
    <col min="7" max="7" width="9.88671875" customWidth="1"/>
    <col min="8" max="8" width="22" customWidth="1"/>
    <col min="9" max="9" width="9.88671875" customWidth="1"/>
    <col min="10" max="10" width="22.44140625" customWidth="1"/>
    <col min="11" max="11" width="21" customWidth="1"/>
  </cols>
  <sheetData>
    <row r="1" spans="1:10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3">
      <c r="A2" s="1" t="s">
        <v>91</v>
      </c>
      <c r="B2" s="1" t="s">
        <v>78</v>
      </c>
      <c r="C2" s="1"/>
      <c r="D2" s="1" t="s">
        <v>77</v>
      </c>
      <c r="E2" s="1"/>
      <c r="F2" s="1" t="s">
        <v>79</v>
      </c>
      <c r="G2" s="1"/>
      <c r="H2" s="1" t="s">
        <v>80</v>
      </c>
      <c r="I2" s="1"/>
      <c r="J2" s="1" t="s">
        <v>81</v>
      </c>
    </row>
    <row r="3" spans="1:10" x14ac:dyDescent="0.3">
      <c r="A3" t="s">
        <v>72</v>
      </c>
      <c r="B3">
        <f>Exp1_Tempreintervalof10mins_1!D3</f>
        <v>34.4</v>
      </c>
      <c r="D3">
        <f>Exp1_Tempreintervalof10mins_1!D4</f>
        <v>32.200000000000003</v>
      </c>
      <c r="F3">
        <f>Exp1_Tempreintervalof10mins_1!D5</f>
        <v>31</v>
      </c>
      <c r="H3">
        <f>Exp1_Tempreintervalof10mins_1!D6</f>
        <v>30</v>
      </c>
      <c r="J3">
        <f>Exp1_Tempreintervalof10mins_1!D7</f>
        <v>30.9</v>
      </c>
    </row>
    <row r="4" spans="1:10" x14ac:dyDescent="0.3">
      <c r="A4" t="s">
        <v>73</v>
      </c>
      <c r="B4">
        <f>Exp1_Tempreadintervalof2min_2!D7</f>
        <v>34.5</v>
      </c>
      <c r="D4">
        <f>Exp1_Tempreadintervalof2min_2!D6</f>
        <v>32.9</v>
      </c>
      <c r="F4">
        <f>Exp1_Tempreadintervalof2min_2!D5</f>
        <v>32</v>
      </c>
      <c r="H4">
        <f>Exp1_Tempreadintervalof2min_2!D4</f>
        <v>31</v>
      </c>
      <c r="J4">
        <f>Exp1_Tempreadintervalof2min_2!D3</f>
        <v>31</v>
      </c>
    </row>
    <row r="5" spans="1:10" x14ac:dyDescent="0.3">
      <c r="A5" t="s">
        <v>74</v>
      </c>
      <c r="B5">
        <f>Exp1_Tempreadingradomlypicked_3!D2</f>
        <v>33.5</v>
      </c>
      <c r="D5">
        <f>Exp1_Tempreadingradomlypicked_3!D3</f>
        <v>31</v>
      </c>
      <c r="F5">
        <f>Exp1_Tempreadingradomlypicked_3!D4</f>
        <v>29</v>
      </c>
      <c r="H5">
        <f>Exp1_Tempreadingradomlypicked_3!D5</f>
        <v>29</v>
      </c>
      <c r="J5">
        <f>Exp1_Tempreadingradomlypicked_3!D6</f>
        <v>28</v>
      </c>
    </row>
    <row r="6" spans="1:10" x14ac:dyDescent="0.3">
      <c r="A6" t="s">
        <v>120</v>
      </c>
      <c r="B6">
        <f>Exp1_bodydarkskinemissivity1_4!D2</f>
        <v>33.5</v>
      </c>
      <c r="D6">
        <f>Exp1_bodydarkskinemissivity1_4!D3</f>
        <v>31.75</v>
      </c>
      <c r="F6">
        <f>Exp1_bodydarkskinemissivity1_4!D4</f>
        <v>30.25</v>
      </c>
      <c r="H6">
        <f>Exp1_bodydarkskinemissivity1_4!D5</f>
        <v>29.25</v>
      </c>
      <c r="J6">
        <f>Exp1_bodydarkskinemissivity1_4!D6</f>
        <v>29.75</v>
      </c>
    </row>
    <row r="7" spans="1:10" x14ac:dyDescent="0.3">
      <c r="A7" t="s">
        <v>121</v>
      </c>
      <c r="B7">
        <f>Exp1_Bodydarkskinemissivity_5!D2</f>
        <v>33.25</v>
      </c>
      <c r="D7">
        <f>Exp1_Bodydarkskinemissivity_5!D3</f>
        <v>31</v>
      </c>
      <c r="F7">
        <f>Exp1_Bodydarkskinemissivity_5!D4</f>
        <v>30.25</v>
      </c>
      <c r="H7">
        <f>Exp1_Bodydarkskinemissivity_5!D5</f>
        <v>29.75</v>
      </c>
      <c r="J7">
        <f>Exp1_Bodydarkskinemissivity_5!D6</f>
        <v>29.75</v>
      </c>
    </row>
    <row r="8" spans="1:10" x14ac:dyDescent="0.3">
      <c r="A8" t="s">
        <v>122</v>
      </c>
      <c r="B8">
        <f>Exp1_bodylightskinemmisivity_6!D2</f>
        <v>33.5</v>
      </c>
      <c r="D8">
        <f>Exp1_bodylightskinemmisivity_6!D3</f>
        <v>31.7</v>
      </c>
      <c r="F8">
        <f>Exp1_bodylightskinemmisivity_6!D4</f>
        <v>30</v>
      </c>
      <c r="H8">
        <f>Exp1_bodylightskinemmisivity_6!D5</f>
        <v>29</v>
      </c>
      <c r="J8">
        <f>Exp1_bodylightskinemmisivity_6!D6</f>
        <v>29</v>
      </c>
    </row>
    <row r="9" spans="1:10" x14ac:dyDescent="0.3">
      <c r="A9" t="s">
        <v>75</v>
      </c>
      <c r="B9">
        <f>Exp1_bodylightskinemmisivity1_7!D2</f>
        <v>32.5</v>
      </c>
      <c r="D9">
        <f>Exp1_bodylightskinemmisivity1_7!D3</f>
        <v>30.5</v>
      </c>
      <c r="F9">
        <f>Exp1_bodylightskinemmisivity1_7!D4</f>
        <v>30</v>
      </c>
      <c r="H9">
        <f>Exp1_bodylightskinemmisivity1_7!D5</f>
        <v>29</v>
      </c>
      <c r="J9">
        <f>Exp1_bodylightskinemmisivity1_7!D6</f>
        <v>24</v>
      </c>
    </row>
    <row r="10" spans="1:10" x14ac:dyDescent="0.3">
      <c r="A10" t="s">
        <v>123</v>
      </c>
      <c r="B10">
        <f>Exp1_Lightskinlowtempnaturalh_8!D2</f>
        <v>32</v>
      </c>
      <c r="D10">
        <f>Exp1_Lightskinlowtempnaturalh_8!D3</f>
        <v>29</v>
      </c>
      <c r="F10">
        <f>Exp1_Lightskinlowtempnaturalh_8!D4</f>
        <v>27.25</v>
      </c>
      <c r="H10">
        <f>Exp1_Lightskinlowtempnaturalh_8!D5</f>
        <v>26.5</v>
      </c>
      <c r="J10">
        <f>Exp1_Lightskinlowtempnaturalh_8!D6</f>
        <v>25</v>
      </c>
    </row>
    <row r="11" spans="1:10" x14ac:dyDescent="0.3">
      <c r="A11" t="s">
        <v>76</v>
      </c>
      <c r="B11">
        <f>Exp1_Darkskinlowtempnaturalho_9!D2</f>
        <v>31.5</v>
      </c>
      <c r="D11">
        <f>Exp1_Darkskinlowtempnaturalho_9!D3</f>
        <v>28.5</v>
      </c>
      <c r="F11">
        <f>Exp1_Darkskinlowtempnaturalho_9!D4</f>
        <v>28.5</v>
      </c>
      <c r="H11">
        <f>Exp1_Darkskinlowtempnaturalho_9!D5</f>
        <v>27</v>
      </c>
      <c r="J11">
        <f>Exp1_Darkskinlowtempnaturalho_9!D6</f>
        <v>26.25</v>
      </c>
    </row>
    <row r="12" spans="1:10" x14ac:dyDescent="0.3">
      <c r="A12" t="s">
        <v>82</v>
      </c>
      <c r="B12">
        <f>Exp1_Darksknlowtepartificial_10!D2</f>
        <v>32.25</v>
      </c>
      <c r="D12">
        <f>Exp1_Darksknlowtepartificial_10!D3</f>
        <v>29.75</v>
      </c>
      <c r="F12">
        <f>Exp1_Darksknlowtepartificial_10!D4</f>
        <v>28.75</v>
      </c>
      <c r="H12">
        <f>Exp1_Darksknlowtepartificial_10!D5</f>
        <v>26.2</v>
      </c>
      <c r="J12">
        <f>Exp1_Darksknlowtepartificial_10!D6</f>
        <v>27</v>
      </c>
    </row>
    <row r="13" spans="1:10" x14ac:dyDescent="0.3">
      <c r="A13" t="s">
        <v>86</v>
      </c>
      <c r="B13">
        <f>Exp1_lghtsknlowtempartificia_11!D2</f>
        <v>31.5</v>
      </c>
      <c r="D13">
        <f>Exp1_lghtsknlowtempartificia_11!D3</f>
        <v>29.25</v>
      </c>
      <c r="F13">
        <f>Exp1_lghtsknlowtempartificia_11!D4</f>
        <v>28.5</v>
      </c>
      <c r="H13">
        <f>Exp1_lghtsknlowtempartificia_11!D6</f>
        <v>27.5</v>
      </c>
      <c r="J13">
        <f>Exp1_lghtsknlowtempartificia_11!D6</f>
        <v>27.5</v>
      </c>
    </row>
    <row r="15" spans="1:10" x14ac:dyDescent="0.3">
      <c r="A15" s="1" t="s">
        <v>88</v>
      </c>
      <c r="B15">
        <f>AVERAGE(B3:B13)</f>
        <v>32.945454545454545</v>
      </c>
      <c r="D15">
        <f>AVERAGE(D3:D13)</f>
        <v>30.686363636363634</v>
      </c>
      <c r="F15">
        <f>AVERAGE(F3:F13)</f>
        <v>29.59090909090909</v>
      </c>
      <c r="H15">
        <f>AVERAGE(H3:H13)</f>
        <v>28.563636363636363</v>
      </c>
      <c r="J15">
        <f>AVERAGE(J3:J13)</f>
        <v>28.013636363636362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AE9A-CBA3-459B-BC3D-329C6A6156FB}">
  <dimension ref="A1:F16"/>
  <sheetViews>
    <sheetView workbookViewId="0">
      <selection activeCell="E27" sqref="E27"/>
    </sheetView>
  </sheetViews>
  <sheetFormatPr defaultRowHeight="14.4" x14ac:dyDescent="0.3"/>
  <cols>
    <col min="1" max="1" width="20.21875" customWidth="1"/>
    <col min="2" max="2" width="23.33203125" customWidth="1"/>
    <col min="3" max="3" width="22.77734375" customWidth="1"/>
    <col min="4" max="4" width="22.88671875" customWidth="1"/>
    <col min="5" max="5" width="24.5546875" customWidth="1"/>
    <col min="6" max="6" width="23.88671875" customWidth="1"/>
    <col min="7" max="7" width="23.6640625" customWidth="1"/>
    <col min="8" max="8" width="23.21875" customWidth="1"/>
    <col min="9" max="9" width="23.6640625" customWidth="1"/>
    <col min="10" max="10" width="23.21875" customWidth="1"/>
  </cols>
  <sheetData>
    <row r="1" spans="1:6" x14ac:dyDescent="0.3">
      <c r="B1" s="1" t="s">
        <v>78</v>
      </c>
      <c r="C1" s="1" t="s">
        <v>77</v>
      </c>
      <c r="D1" s="1" t="s">
        <v>79</v>
      </c>
      <c r="E1" s="1" t="s">
        <v>80</v>
      </c>
      <c r="F1" s="1" t="s">
        <v>81</v>
      </c>
    </row>
    <row r="2" spans="1:6" x14ac:dyDescent="0.3">
      <c r="B2">
        <f>Exp1_CategoriesofTempreadingRob!B3</f>
        <v>34.4</v>
      </c>
      <c r="C2">
        <f>Exp1_CategoriesofTempreadingRob!D3</f>
        <v>32.200000000000003</v>
      </c>
      <c r="D2">
        <f>Exp1_CategoriesofTempreadingRob!F3</f>
        <v>31</v>
      </c>
      <c r="E2">
        <f>Exp1_CategoriesofTempreadingRob!H3</f>
        <v>30</v>
      </c>
      <c r="F2">
        <f>Exp1_CategoriesofTempreadingRob!J3</f>
        <v>30.9</v>
      </c>
    </row>
    <row r="3" spans="1:6" x14ac:dyDescent="0.3">
      <c r="B3">
        <f>Exp1_CategoriesofTempreadingRob!B4</f>
        <v>34.5</v>
      </c>
      <c r="C3">
        <f>Exp1_CategoriesofTempreadingRob!D4</f>
        <v>32.9</v>
      </c>
      <c r="D3">
        <f>Exp1_CategoriesofTempreadingRob!F4</f>
        <v>32</v>
      </c>
      <c r="E3">
        <f>Exp1_CategoriesofTempreadingRob!H4</f>
        <v>31</v>
      </c>
      <c r="F3">
        <f>Exp1_CategoriesofTempreadingRob!J4</f>
        <v>31</v>
      </c>
    </row>
    <row r="4" spans="1:6" x14ac:dyDescent="0.3">
      <c r="B4">
        <f>Exp1_CategoriesofTempreadingRob!B5</f>
        <v>33.5</v>
      </c>
      <c r="C4">
        <f>Exp1_CategoriesofTempreadingRob!D5</f>
        <v>31</v>
      </c>
      <c r="D4">
        <f>Exp1_CategoriesofTempreadingRob!F5</f>
        <v>29</v>
      </c>
      <c r="E4">
        <f>Exp1_CategoriesofTempreadingRob!H5</f>
        <v>29</v>
      </c>
      <c r="F4">
        <f>Exp1_CategoriesofTempreadingRob!J5</f>
        <v>28</v>
      </c>
    </row>
    <row r="5" spans="1:6" x14ac:dyDescent="0.3">
      <c r="B5">
        <f>Exp1_CategoriesofTempreadingRob!B6</f>
        <v>33.5</v>
      </c>
      <c r="C5">
        <f>Exp1_CategoriesofTempreadingRob!D6</f>
        <v>31.75</v>
      </c>
      <c r="D5">
        <f>Exp1_CategoriesofTempreadingRob!F6</f>
        <v>30.25</v>
      </c>
      <c r="E5">
        <f>Exp1_CategoriesofTempreadingRob!H6</f>
        <v>29.25</v>
      </c>
      <c r="F5">
        <f>Exp1_CategoriesofTempreadingRob!J6</f>
        <v>29.75</v>
      </c>
    </row>
    <row r="6" spans="1:6" x14ac:dyDescent="0.3">
      <c r="B6">
        <f>Exp1_CategoriesofTempreadingRob!B7</f>
        <v>33.25</v>
      </c>
      <c r="C6">
        <f>Exp1_CategoriesofTempreadingRob!D7</f>
        <v>31</v>
      </c>
      <c r="D6">
        <f>Exp1_CategoriesofTempreadingRob!F7</f>
        <v>30.25</v>
      </c>
      <c r="E6">
        <f>Exp1_CategoriesofTempreadingRob!H7</f>
        <v>29.75</v>
      </c>
      <c r="F6">
        <f>Exp1_CategoriesofTempreadingRob!J7</f>
        <v>29.75</v>
      </c>
    </row>
    <row r="7" spans="1:6" x14ac:dyDescent="0.3">
      <c r="B7">
        <f>Exp1_CategoriesofTempreadingRob!B8</f>
        <v>33.5</v>
      </c>
      <c r="C7">
        <f>Exp1_CategoriesofTempreadingRob!D8</f>
        <v>31.7</v>
      </c>
      <c r="D7">
        <f>Exp1_CategoriesofTempreadingRob!F8</f>
        <v>30</v>
      </c>
      <c r="E7">
        <f>Exp1_CategoriesofTempreadingRob!H8</f>
        <v>29</v>
      </c>
      <c r="F7">
        <f>Exp1_CategoriesofTempreadingRob!J8</f>
        <v>29</v>
      </c>
    </row>
    <row r="8" spans="1:6" x14ac:dyDescent="0.3">
      <c r="B8">
        <f>Exp1_CategoriesofTempreadingRob!B9</f>
        <v>32.5</v>
      </c>
      <c r="C8">
        <f>Exp1_CategoriesofTempreadingRob!D9</f>
        <v>30.5</v>
      </c>
      <c r="D8">
        <f>Exp1_CategoriesofTempreadingRob!F9</f>
        <v>30</v>
      </c>
      <c r="E8">
        <f>Exp1_CategoriesofTempreadingRob!H9</f>
        <v>29</v>
      </c>
      <c r="F8">
        <f>Exp1_CategoriesofTempreadingRob!J9</f>
        <v>24</v>
      </c>
    </row>
    <row r="9" spans="1:6" x14ac:dyDescent="0.3">
      <c r="B9">
        <f>Exp1_CategoriesofTempreadingRob!B10</f>
        <v>32</v>
      </c>
      <c r="C9">
        <f>Exp1_CategoriesofTempreadingRob!D10</f>
        <v>29</v>
      </c>
      <c r="D9">
        <f>Exp1_CategoriesofTempreadingRob!F10</f>
        <v>27.25</v>
      </c>
      <c r="E9">
        <f>Exp1_CategoriesofTempreadingRob!H10</f>
        <v>26.5</v>
      </c>
      <c r="F9">
        <f>Exp1_CategoriesofTempreadingRob!J10</f>
        <v>25</v>
      </c>
    </row>
    <row r="10" spans="1:6" x14ac:dyDescent="0.3">
      <c r="B10">
        <f>Exp1_CategoriesofTempreadingRob!B11</f>
        <v>31.5</v>
      </c>
      <c r="C10">
        <f>Exp1_CategoriesofTempreadingRob!D11</f>
        <v>28.5</v>
      </c>
      <c r="D10">
        <f>Exp1_CategoriesofTempreadingRob!F11</f>
        <v>28.5</v>
      </c>
      <c r="E10">
        <f>Exp1_CategoriesofTempreadingRob!H11</f>
        <v>27</v>
      </c>
      <c r="F10">
        <f>Exp1_CategoriesofTempreadingRob!J11</f>
        <v>26.25</v>
      </c>
    </row>
    <row r="11" spans="1:6" x14ac:dyDescent="0.3">
      <c r="B11">
        <f>Exp1_CategoriesofTempreadingRob!B12</f>
        <v>32.25</v>
      </c>
      <c r="C11">
        <f>Exp1_CategoriesofTempreadingRob!D12</f>
        <v>29.75</v>
      </c>
      <c r="D11">
        <f>Exp1_CategoriesofTempreadingRob!F12</f>
        <v>28.75</v>
      </c>
      <c r="E11">
        <f>Exp1_CategoriesofTempreadingRob!H12</f>
        <v>26.2</v>
      </c>
      <c r="F11">
        <f>Exp1_CategoriesofTempreadingRob!J12</f>
        <v>27</v>
      </c>
    </row>
    <row r="12" spans="1:6" x14ac:dyDescent="0.3">
      <c r="B12">
        <f>Exp1_CategoriesofTempreadingRob!B13</f>
        <v>31.5</v>
      </c>
      <c r="C12">
        <f>Exp1_CategoriesofTempreadingRob!D13</f>
        <v>29.25</v>
      </c>
      <c r="D12">
        <f>Exp1_CategoriesofTempreadingRob!F13</f>
        <v>28.5</v>
      </c>
      <c r="E12">
        <f>Exp1_CategoriesofTempreadingRob!H13</f>
        <v>27.5</v>
      </c>
      <c r="F12">
        <f>Exp1_CategoriesofTempreadingRob!J13</f>
        <v>27.5</v>
      </c>
    </row>
    <row r="14" spans="1:6" x14ac:dyDescent="0.3">
      <c r="A14" s="1" t="s">
        <v>104</v>
      </c>
      <c r="B14">
        <f>_xlfn.VAR.S(Table11[Temp Readings at 1 Metre])</f>
        <v>1.1302272727272722</v>
      </c>
      <c r="C14">
        <f>_xlfn.VAR.S(Table11[Temp Readings at 2 Metres])</f>
        <v>2.0145454545454546</v>
      </c>
      <c r="D14">
        <f>_xlfn.VAR.S(Table11[Temp Readings at 3 Metres])</f>
        <v>1.7909090909090906</v>
      </c>
      <c r="E14">
        <f>_xlfn.VAR.S(Table11[Temp Readings at 4 Metres])</f>
        <v>2.3870454545454551</v>
      </c>
      <c r="F14">
        <f>_xlfn.VAR.S(Table11[Temp Readings at 5 Metres])</f>
        <v>5.3845454545454547</v>
      </c>
    </row>
    <row r="15" spans="1:6" x14ac:dyDescent="0.3">
      <c r="A15" s="1"/>
    </row>
    <row r="16" spans="1:6" x14ac:dyDescent="0.3">
      <c r="A16" s="1" t="s">
        <v>90</v>
      </c>
      <c r="B16">
        <f>SQRT(B14)</f>
        <v>1.0631214759975796</v>
      </c>
      <c r="C16">
        <f>SQRT(C14)</f>
        <v>1.4193468408199086</v>
      </c>
      <c r="D16">
        <f>SQRT(D14)</f>
        <v>1.3382485161243747</v>
      </c>
      <c r="E16">
        <f>SQRT(E14)</f>
        <v>1.5450066195798176</v>
      </c>
      <c r="F16">
        <f>SQRT(F14)</f>
        <v>2.3204623363772692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5479-ACE3-4D0D-BFA0-702D7BD57F48}">
  <dimension ref="A1:F16"/>
  <sheetViews>
    <sheetView workbookViewId="0">
      <selection activeCell="G20" sqref="G20"/>
    </sheetView>
  </sheetViews>
  <sheetFormatPr defaultRowHeight="14.4" x14ac:dyDescent="0.3"/>
  <cols>
    <col min="1" max="1" width="19.88671875" customWidth="1"/>
    <col min="2" max="2" width="21.21875" customWidth="1"/>
    <col min="3" max="3" width="25.88671875" customWidth="1"/>
    <col min="4" max="4" width="23.33203125" customWidth="1"/>
    <col min="5" max="5" width="24.88671875" customWidth="1"/>
    <col min="6" max="6" width="24.6640625" customWidth="1"/>
    <col min="7" max="7" width="23.6640625" customWidth="1"/>
    <col min="8" max="8" width="23.21875" customWidth="1"/>
    <col min="9" max="9" width="23.6640625" customWidth="1"/>
    <col min="10" max="10" width="23.21875" customWidth="1"/>
    <col min="11" max="11" width="21.88671875" customWidth="1"/>
  </cols>
  <sheetData>
    <row r="1" spans="1:6" x14ac:dyDescent="0.3">
      <c r="B1" s="1" t="s">
        <v>78</v>
      </c>
      <c r="C1" s="1" t="s">
        <v>77</v>
      </c>
      <c r="D1" s="1" t="s">
        <v>79</v>
      </c>
      <c r="E1" s="1" t="s">
        <v>80</v>
      </c>
      <c r="F1" s="1" t="s">
        <v>81</v>
      </c>
    </row>
    <row r="2" spans="1:6" x14ac:dyDescent="0.3">
      <c r="B2">
        <f>Exp1_CategoriesofTempreadingbyR!B3</f>
        <v>32</v>
      </c>
      <c r="C2">
        <f>Exp1_CategoriesofTempreadingbyR!D3</f>
        <v>29</v>
      </c>
      <c r="D2">
        <f>Exp1_CategoriesofTempreadingbyR!F3</f>
        <v>21.5</v>
      </c>
      <c r="E2">
        <f>Exp1_CategoriesofTempreadingbyR!H3</f>
        <v>21.3</v>
      </c>
      <c r="F2">
        <f>Exp1_CategoriesofTempreadingbyR!J3</f>
        <v>21</v>
      </c>
    </row>
    <row r="3" spans="1:6" x14ac:dyDescent="0.3">
      <c r="B3">
        <f>Exp1_CategoriesofTempreadingbyR!B4</f>
        <v>33</v>
      </c>
      <c r="C3">
        <f>Exp1_CategoriesofTempreadingbyR!D4</f>
        <v>31</v>
      </c>
      <c r="D3">
        <f>Exp1_CategoriesofTempreadingbyR!F4</f>
        <v>29.5</v>
      </c>
      <c r="E3">
        <f>Exp1_CategoriesofTempreadingbyR!H4</f>
        <v>29.2</v>
      </c>
      <c r="F3">
        <f>Exp1_CategoriesofTempreadingbyR!J4</f>
        <v>28</v>
      </c>
    </row>
    <row r="4" spans="1:6" x14ac:dyDescent="0.3">
      <c r="B4">
        <f>Exp1_CategoriesofTempreadingbyR!B5</f>
        <v>31</v>
      </c>
      <c r="C4">
        <f>Exp1_CategoriesofTempreadingbyR!D5</f>
        <v>29</v>
      </c>
      <c r="D4">
        <f>Exp1_CategoriesofTempreadingbyR!F5</f>
        <v>26.5</v>
      </c>
      <c r="E4">
        <f>Exp1_CategoriesofTempreadingbyR!H5</f>
        <v>22</v>
      </c>
      <c r="F4">
        <f>Exp1_CategoriesofTempreadingbyR!J5</f>
        <v>21</v>
      </c>
    </row>
    <row r="5" spans="1:6" x14ac:dyDescent="0.3">
      <c r="B5">
        <f>Exp1_CategoriesofTempreadingbyR!B6</f>
        <v>30.1</v>
      </c>
      <c r="C5">
        <f>Exp1_CategoriesofTempreadingbyR!D6</f>
        <v>28.4</v>
      </c>
      <c r="D5">
        <f>Exp1_CategoriesofTempreadingbyR!F6</f>
        <v>28.7</v>
      </c>
      <c r="E5">
        <f>Exp1_CategoriesofTempreadingbyR!H6</f>
        <v>25.3</v>
      </c>
      <c r="F5">
        <f>Exp1_CategoriesofTempreadingbyR!J6</f>
        <v>25</v>
      </c>
    </row>
    <row r="6" spans="1:6" x14ac:dyDescent="0.3">
      <c r="B6">
        <f>Exp1_CategoriesofTempreadingbyR!B7</f>
        <v>30.4</v>
      </c>
      <c r="C6">
        <f>Exp1_CategoriesofTempreadingbyR!D7</f>
        <v>29.9</v>
      </c>
      <c r="D6">
        <f>Exp1_CategoriesofTempreadingbyR!F7</f>
        <v>28.7</v>
      </c>
      <c r="E6">
        <f>Exp1_CategoriesofTempreadingbyR!H7</f>
        <v>27.7</v>
      </c>
      <c r="F6">
        <f>Exp1_CategoriesofTempreadingbyR!J7</f>
        <v>25.7</v>
      </c>
    </row>
    <row r="7" spans="1:6" x14ac:dyDescent="0.3">
      <c r="B7">
        <f>Exp1_CategoriesofTempreadingbyR!B8</f>
        <v>30.3</v>
      </c>
      <c r="C7">
        <f>Exp1_CategoriesofTempreadingbyR!D8</f>
        <v>29.3</v>
      </c>
      <c r="D7">
        <f>Exp1_CategoriesofTempreadingbyR!F8</f>
        <v>28.8</v>
      </c>
      <c r="E7">
        <f>Exp1_CategoriesofTempreadingbyR!H8</f>
        <v>28.3</v>
      </c>
      <c r="F7">
        <f>Exp1_CategoriesofTempreadingbyR!J8</f>
        <v>28</v>
      </c>
    </row>
    <row r="8" spans="1:6" x14ac:dyDescent="0.3">
      <c r="B8">
        <f>Exp1_CategoriesofTempreadingbyR!B9</f>
        <v>29.8</v>
      </c>
      <c r="C8">
        <f>Exp1_CategoriesofTempreadingbyR!D9</f>
        <v>28.2</v>
      </c>
      <c r="D8">
        <f>Exp1_CategoriesofTempreadingbyR!F9</f>
        <v>25.9</v>
      </c>
      <c r="E8">
        <f>Exp1_CategoriesofTempreadingbyR!H9</f>
        <v>25.2</v>
      </c>
      <c r="F8">
        <f>Exp1_CategoriesofTempreadingbyR!J9</f>
        <v>20.2</v>
      </c>
    </row>
    <row r="9" spans="1:6" x14ac:dyDescent="0.3">
      <c r="B9">
        <f>Exp1_CategoriesofTempreadingbyR!B10</f>
        <v>31.6</v>
      </c>
      <c r="C9">
        <f>Exp1_CategoriesofTempreadingbyR!D10</f>
        <v>30</v>
      </c>
      <c r="D9">
        <f>Exp1_CategoriesofTempreadingbyR!F10</f>
        <v>29</v>
      </c>
      <c r="E9">
        <f>Exp1_CategoriesofTempreadingbyR!H10</f>
        <v>28.2</v>
      </c>
      <c r="F9">
        <f>Exp1_CategoriesofTempreadingbyR!J10</f>
        <v>27.5</v>
      </c>
    </row>
    <row r="10" spans="1:6" x14ac:dyDescent="0.3">
      <c r="B10">
        <f>Exp1_CategoriesofTempreadingbyR!B11</f>
        <v>30.9</v>
      </c>
      <c r="C10">
        <f>Exp1_CategoriesofTempreadingbyR!D11</f>
        <v>29.5</v>
      </c>
      <c r="D10">
        <f>Exp1_CategoriesofTempreadingbyR!F11</f>
        <v>28.8</v>
      </c>
      <c r="E10">
        <f>Exp1_CategoriesofTempreadingbyR!H11</f>
        <v>28.5</v>
      </c>
      <c r="F10">
        <f>Exp1_CategoriesofTempreadingbyR!J11</f>
        <v>28.5</v>
      </c>
    </row>
    <row r="11" spans="1:6" x14ac:dyDescent="0.3">
      <c r="B11">
        <f>Exp1_CategoriesofTempreadingbyR!B12</f>
        <v>30.4</v>
      </c>
      <c r="C11">
        <f>Exp1_CategoriesofTempreadingbyR!D12</f>
        <v>29.6</v>
      </c>
      <c r="D11">
        <f>Exp1_CategoriesofTempreadingbyR!F12</f>
        <v>28</v>
      </c>
      <c r="E11">
        <f>Exp1_CategoriesofTempreadingbyR!H12</f>
        <v>26.2</v>
      </c>
      <c r="F11">
        <f>Exp1_CategoriesofTempreadingbyR!J12</f>
        <v>26.5</v>
      </c>
    </row>
    <row r="12" spans="1:6" x14ac:dyDescent="0.3">
      <c r="B12">
        <f>Exp1_CategoriesofTempreadingbyR!B13</f>
        <v>30.1</v>
      </c>
      <c r="C12">
        <f>Exp1_CategoriesofTempreadingbyR!D13</f>
        <v>30</v>
      </c>
      <c r="D12">
        <f>Exp1_CategoriesofTempreadingbyR!F13</f>
        <v>28.8</v>
      </c>
      <c r="E12">
        <f>Exp1_CategoriesofTempreadingbyR!H13</f>
        <v>27.5</v>
      </c>
      <c r="F12">
        <f>Exp1_CategoriesofTempreadingbyR!J13</f>
        <v>27.4</v>
      </c>
    </row>
    <row r="14" spans="1:6" x14ac:dyDescent="0.3">
      <c r="A14" s="1" t="s">
        <v>89</v>
      </c>
      <c r="B14">
        <f>_xlfn.VAR.S(Table9[Temp Readings at 1 Metre])</f>
        <v>0.94618181818181757</v>
      </c>
      <c r="C14">
        <f>_xlfn.VAR.S(Table9[Temp Readings at 2 Metres])</f>
        <v>0.63272727272727303</v>
      </c>
      <c r="D14">
        <f>_xlfn.VAR.S(Table9[Temp Readings at 3 Metres])</f>
        <v>5.3747272727272719</v>
      </c>
      <c r="E14">
        <f>_xlfn.VAR.S(Table9[Temp Readings at 4 Metres])</f>
        <v>6.9969090909090896</v>
      </c>
      <c r="F14">
        <f>_xlfn.VAR.S(Table9[Temp Readings at 5 Metres])</f>
        <v>9.8727272727274791</v>
      </c>
    </row>
    <row r="16" spans="1:6" x14ac:dyDescent="0.3">
      <c r="A16" s="1" t="s">
        <v>90</v>
      </c>
      <c r="B16">
        <f>SQRT(B14)</f>
        <v>0.97271877651344718</v>
      </c>
      <c r="C16">
        <f>SQRT(C14)</f>
        <v>0.79544155833554042</v>
      </c>
      <c r="D16">
        <f>SQRT(D14)</f>
        <v>2.3183458052515098</v>
      </c>
      <c r="E16">
        <f>SQRT(E14)</f>
        <v>2.6451671196559756</v>
      </c>
      <c r="F16">
        <f>SQRT(F14)</f>
        <v>3.1420896347379204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F86F-0704-42EB-AC6A-213D6FFD0B6D}">
  <dimension ref="A1:F17"/>
  <sheetViews>
    <sheetView workbookViewId="0">
      <selection activeCell="H17" sqref="H17"/>
    </sheetView>
  </sheetViews>
  <sheetFormatPr defaultRowHeight="14.4" x14ac:dyDescent="0.3"/>
  <cols>
    <col min="1" max="1" width="19.77734375" customWidth="1"/>
    <col min="2" max="2" width="21.44140625" customWidth="1"/>
    <col min="3" max="3" width="22.33203125" customWidth="1"/>
    <col min="4" max="4" width="23" customWidth="1"/>
    <col min="5" max="5" width="22.44140625" customWidth="1"/>
    <col min="6" max="6" width="26.44140625" customWidth="1"/>
    <col min="7" max="7" width="23.6640625" customWidth="1"/>
    <col min="8" max="8" width="23.21875" customWidth="1"/>
    <col min="9" max="9" width="23.6640625" customWidth="1"/>
    <col min="10" max="10" width="23.21875" customWidth="1"/>
  </cols>
  <sheetData>
    <row r="1" spans="1:6" x14ac:dyDescent="0.3">
      <c r="B1" s="1" t="s">
        <v>78</v>
      </c>
      <c r="C1" s="1" t="s">
        <v>77</v>
      </c>
      <c r="D1" s="1" t="s">
        <v>79</v>
      </c>
      <c r="E1" s="1" t="s">
        <v>80</v>
      </c>
      <c r="F1" s="1" t="s">
        <v>81</v>
      </c>
    </row>
    <row r="2" spans="1:6" x14ac:dyDescent="0.3">
      <c r="B2">
        <f>Exp1_CategoryofTempReadingfromP!B3</f>
        <v>34.4</v>
      </c>
      <c r="C2">
        <f>Exp1_CategoryofTempReadingfromP!D3</f>
        <v>32.200000000000003</v>
      </c>
      <c r="D2">
        <f>Exp1_CategoryofTempReadingfromP!F3</f>
        <v>31.5</v>
      </c>
      <c r="E2">
        <f>Exp1_CategoryofTempReadingfromP!H3</f>
        <v>30.5</v>
      </c>
      <c r="F2">
        <f>Exp1_CategoryofTempReadingfromP!J3</f>
        <v>30</v>
      </c>
    </row>
    <row r="3" spans="1:6" x14ac:dyDescent="0.3">
      <c r="B3">
        <f>Exp1_CategoryofTempReadingfromP!B4</f>
        <v>34.5</v>
      </c>
      <c r="C3">
        <f>Exp1_CategoryofTempReadingfromP!D4</f>
        <v>32.9</v>
      </c>
      <c r="D3">
        <f>Exp1_CategoryofTempReadingfromP!F4</f>
        <v>32.5</v>
      </c>
      <c r="E3">
        <f>Exp1_CategoryofTempReadingfromP!H4</f>
        <v>32.9</v>
      </c>
      <c r="F3">
        <f>Exp1_CategoryofTempReadingfromP!J4</f>
        <v>31.5</v>
      </c>
    </row>
    <row r="4" spans="1:6" x14ac:dyDescent="0.3">
      <c r="B4">
        <f>Exp1_CategoryofTempReadingfromP!B5</f>
        <v>33.5</v>
      </c>
      <c r="C4">
        <f>Exp1_CategoryofTempReadingfromP!D5</f>
        <v>31.5</v>
      </c>
      <c r="D4">
        <f>Exp1_CategoryofTempReadingfromP!F5</f>
        <v>29.2</v>
      </c>
      <c r="E4">
        <f>Exp1_CategoryofTempReadingfromP!H5</f>
        <v>29</v>
      </c>
      <c r="F4">
        <f>Exp1_CategoryofTempReadingfromP!J5</f>
        <v>28</v>
      </c>
    </row>
    <row r="5" spans="1:6" x14ac:dyDescent="0.3">
      <c r="B5">
        <f>Exp1_CategoryofTempReadingfromP!B6</f>
        <v>34.75</v>
      </c>
      <c r="C5">
        <f>Exp1_CategoryofTempReadingfromP!D6</f>
        <v>32.25</v>
      </c>
      <c r="D5">
        <f>Exp1_CategoryofTempReadingfromP!F6</f>
        <v>30.75</v>
      </c>
      <c r="E5">
        <f>Exp1_CategoryofTempReadingfromP!H6</f>
        <v>30.25</v>
      </c>
      <c r="F5">
        <f>Exp1_CategoryofTempReadingfromP!J6</f>
        <v>30</v>
      </c>
    </row>
    <row r="6" spans="1:6" x14ac:dyDescent="0.3">
      <c r="B6">
        <f>Exp1_CategoryofTempReadingfromP!B7</f>
        <v>34.5</v>
      </c>
      <c r="C6">
        <f>Exp1_CategoryofTempReadingfromP!D7</f>
        <v>31.75</v>
      </c>
      <c r="D6">
        <f>Exp1_CategoryofTempReadingfromP!F7</f>
        <v>30.5</v>
      </c>
      <c r="E6">
        <f>Exp1_CategoryofTempReadingfromP!H7</f>
        <v>30.25</v>
      </c>
      <c r="F6">
        <f>Exp1_CategoryofTempReadingfromP!J7</f>
        <v>29.75</v>
      </c>
    </row>
    <row r="7" spans="1:6" x14ac:dyDescent="0.3">
      <c r="B7">
        <f>Exp1_CategoryofTempReadingfromP!B8</f>
        <v>33.75</v>
      </c>
      <c r="C7">
        <f>Exp1_CategoryofTempReadingfromP!D8</f>
        <v>31.5</v>
      </c>
      <c r="D7">
        <f>Exp1_CategoryofTempReadingfromP!F8</f>
        <v>30.2</v>
      </c>
      <c r="E7">
        <f>Exp1_CategoryofTempReadingfromP!H8</f>
        <v>29.5</v>
      </c>
      <c r="F7">
        <f>Exp1_CategoryofTempReadingfromP!J8</f>
        <v>28.5</v>
      </c>
    </row>
    <row r="8" spans="1:6" x14ac:dyDescent="0.3">
      <c r="B8">
        <f>Exp1_CategoryofTempReadingfromP!B9</f>
        <v>32.5</v>
      </c>
      <c r="C8">
        <f>Exp1_CategoryofTempReadingfromP!D9</f>
        <v>30.75</v>
      </c>
      <c r="D8">
        <f>Exp1_CategoryofTempReadingfromP!F9</f>
        <v>29.7</v>
      </c>
      <c r="E8">
        <f>Exp1_CategoryofTempReadingfromP!H9</f>
        <v>28.75</v>
      </c>
      <c r="F8">
        <f>Exp1_CategoryofTempReadingfromP!J9</f>
        <v>24.1</v>
      </c>
    </row>
    <row r="9" spans="1:6" x14ac:dyDescent="0.3">
      <c r="B9">
        <f>Exp1_CategoryofTempReadingfromP!B10</f>
        <v>32</v>
      </c>
      <c r="C9">
        <f>Exp1_CategoryofTempReadingfromP!D10</f>
        <v>28.75</v>
      </c>
      <c r="D9">
        <f>Exp1_CategoryofTempReadingfromP!F10</f>
        <v>27.8</v>
      </c>
      <c r="E9">
        <f>Exp1_CategoryofTempReadingfromP!H10</f>
        <v>26.5</v>
      </c>
      <c r="F9">
        <f>Exp1_CategoryofTempReadingfromP!J10</f>
        <v>25.2</v>
      </c>
    </row>
    <row r="10" spans="1:6" x14ac:dyDescent="0.3">
      <c r="B10">
        <f>Exp1_CategoryofTempReadingfromP!B11</f>
        <v>32.75</v>
      </c>
      <c r="C10">
        <f>Exp1_CategoryofTempReadingfromP!D11</f>
        <v>29.25</v>
      </c>
      <c r="D10">
        <f>Exp1_CategoryofTempReadingfromP!F11</f>
        <v>28.25</v>
      </c>
      <c r="E10">
        <f>Exp1_CategoryofTempReadingfromP!H11</f>
        <v>27.25</v>
      </c>
      <c r="F10">
        <f>Exp1_CategoryofTempReadingfromP!J11</f>
        <v>27</v>
      </c>
    </row>
    <row r="11" spans="1:6" x14ac:dyDescent="0.3">
      <c r="B11">
        <f>Exp1_CategoryofTempReadingfromP!B12</f>
        <v>32.5</v>
      </c>
      <c r="C11">
        <f>Exp1_CategoryofTempReadingfromP!D12</f>
        <v>29.5</v>
      </c>
      <c r="D11">
        <f>Exp1_CategoryofTempReadingfromP!F12</f>
        <v>28.75</v>
      </c>
      <c r="E11">
        <f>Exp1_CategoryofTempReadingfromP!H12</f>
        <v>27.75</v>
      </c>
      <c r="F11">
        <f>Exp1_CategoryofTempReadingfromP!J12</f>
        <v>26.75</v>
      </c>
    </row>
    <row r="12" spans="1:6" x14ac:dyDescent="0.3">
      <c r="B12">
        <f>Exp1_CategoryofTempReadingfromP!B13</f>
        <v>32.200000000000003</v>
      </c>
      <c r="C12">
        <f>Exp1_CategoryofTempReadingfromP!D13</f>
        <v>30.5</v>
      </c>
      <c r="D12">
        <f>Exp1_CategoryofTempReadingfromP!F13</f>
        <v>29.75</v>
      </c>
      <c r="E12">
        <f>Exp1_CategoryofTempReadingfromP!H13</f>
        <v>28.75</v>
      </c>
      <c r="F12">
        <f>Exp1_CategoryofTempReadingfromP!J13</f>
        <v>28.25</v>
      </c>
    </row>
    <row r="14" spans="1:6" x14ac:dyDescent="0.3">
      <c r="A14" s="1" t="s">
        <v>89</v>
      </c>
      <c r="B14" s="1">
        <f>_xlfn.VAR.S(Table7[Temp Readings at 1 Metre])</f>
        <v>1.081727272727272</v>
      </c>
      <c r="C14" s="1">
        <f>_xlfn.VAR.S(Table7[Temp Readings at 2 Metres])</f>
        <v>1.8360454545454545</v>
      </c>
      <c r="D14" s="1">
        <f>_xlfn.VAR.S(Table7[Temp Readings at 3 Metres])</f>
        <v>1.95</v>
      </c>
      <c r="E14" s="1">
        <f>_xlfn.VAR.S(Table7[Temp Readings at 4 Metres])</f>
        <v>3.1311363636363625</v>
      </c>
      <c r="F14" s="1">
        <f>_xlfn.VAR.S(Table7[Temp Readings at 5 Metres])</f>
        <v>4.9137272727272716</v>
      </c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 t="s">
        <v>90</v>
      </c>
      <c r="B16" s="1">
        <f>SQRT(B14)</f>
        <v>1.0400611870112604</v>
      </c>
      <c r="C16" s="1">
        <f>SQRT(C14)</f>
        <v>1.3550075477817289</v>
      </c>
      <c r="D16" s="1">
        <f>SQRT(D14)</f>
        <v>1.3964240043768941</v>
      </c>
      <c r="E16" s="1">
        <f>SQRT(E14)</f>
        <v>1.7695017275030738</v>
      </c>
      <c r="F16" s="1">
        <f>SQRT(F14)</f>
        <v>2.2166928683801173</v>
      </c>
    </row>
    <row r="17" spans="1:5" x14ac:dyDescent="0.3">
      <c r="A17" s="1"/>
      <c r="B17" s="1"/>
      <c r="C17" s="1"/>
      <c r="D17" s="1"/>
      <c r="E17" s="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FFDB-5162-4733-B45A-63B392F18C01}">
  <dimension ref="A1:E24"/>
  <sheetViews>
    <sheetView topLeftCell="B7" workbookViewId="0">
      <selection activeCell="Q16" sqref="Q16"/>
    </sheetView>
  </sheetViews>
  <sheetFormatPr defaultRowHeight="14.4" x14ac:dyDescent="0.3"/>
  <cols>
    <col min="1" max="1" width="13" customWidth="1"/>
    <col min="2" max="2" width="19.88671875" customWidth="1"/>
    <col min="3" max="3" width="16.77734375" customWidth="1"/>
    <col min="4" max="4" width="19.77734375" customWidth="1"/>
  </cols>
  <sheetData>
    <row r="1" spans="1:4" x14ac:dyDescent="0.3">
      <c r="A1" t="s">
        <v>92</v>
      </c>
      <c r="B1" t="s">
        <v>93</v>
      </c>
      <c r="C1" t="s">
        <v>99</v>
      </c>
      <c r="D1" t="s">
        <v>100</v>
      </c>
    </row>
    <row r="2" spans="1:4" x14ac:dyDescent="0.3">
      <c r="A2" t="s">
        <v>94</v>
      </c>
      <c r="B2">
        <f>Exp1_CategoryofTempReadingfromP!B14</f>
        <v>33.395454545454541</v>
      </c>
      <c r="C2">
        <f>Exp1_CategoriesofTempreadingbyR!B14</f>
        <v>30.872727272727275</v>
      </c>
      <c r="D2">
        <f>Exp1_CategoriesofTempreadingRob!B15</f>
        <v>32.945454545454545</v>
      </c>
    </row>
    <row r="3" spans="1:4" x14ac:dyDescent="0.3">
      <c r="A3" t="s">
        <v>95</v>
      </c>
      <c r="B3">
        <f>Exp1_CategoryofTempReadingfromP!D14</f>
        <v>30.986363636363638</v>
      </c>
      <c r="C3">
        <f>Exp1_CategoriesofTempreadingbyR!D14</f>
        <v>29.445454545454549</v>
      </c>
      <c r="D3">
        <f>Exp1_CategoriesofTempreadingRob!D15</f>
        <v>30.686363636363634</v>
      </c>
    </row>
    <row r="4" spans="1:4" x14ac:dyDescent="0.3">
      <c r="A4" t="s">
        <v>96</v>
      </c>
      <c r="B4">
        <f>Exp1_CategoryofTempReadingfromP!F14</f>
        <v>29.9</v>
      </c>
      <c r="C4">
        <f>Exp1_CategoriesofTempreadingbyR!F14</f>
        <v>27.65454545454546</v>
      </c>
      <c r="D4">
        <f>Exp1_CategoriesofTempreadingRob!F15</f>
        <v>29.59090909090909</v>
      </c>
    </row>
    <row r="5" spans="1:4" x14ac:dyDescent="0.3">
      <c r="A5" t="s">
        <v>97</v>
      </c>
      <c r="B5">
        <f>Exp1_CategoryofTempReadingfromP!H14</f>
        <v>29.218181818181815</v>
      </c>
      <c r="C5">
        <f>Exp1_CategoriesofTempreadingbyR!H14</f>
        <v>26.309090909090909</v>
      </c>
      <c r="D5">
        <f>Exp1_CategoriesofTempreadingRob!H15</f>
        <v>28.563636363636363</v>
      </c>
    </row>
    <row r="6" spans="1:4" x14ac:dyDescent="0.3">
      <c r="A6" t="s">
        <v>98</v>
      </c>
      <c r="B6">
        <f>Exp1_CategoryofTempReadingfromP!J14</f>
        <v>28.09545454545454</v>
      </c>
      <c r="C6">
        <f>Exp1_CategoriesofTempreadingbyR!J14</f>
        <v>25.34545454545454</v>
      </c>
      <c r="D6">
        <f>Exp1_CategoriesofTempreadingRob!J15</f>
        <v>28.013636363636362</v>
      </c>
    </row>
    <row r="24" spans="5:5" ht="16.8" x14ac:dyDescent="0.4">
      <c r="E24" s="3"/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BE6B-DD67-4782-A6E2-E449159AE999}">
  <dimension ref="A1:D6"/>
  <sheetViews>
    <sheetView workbookViewId="0">
      <selection activeCell="M23" sqref="M23"/>
    </sheetView>
  </sheetViews>
  <sheetFormatPr defaultRowHeight="14.4" x14ac:dyDescent="0.3"/>
  <cols>
    <col min="1" max="1" width="23.33203125" customWidth="1"/>
    <col min="2" max="2" width="18.77734375" customWidth="1"/>
    <col min="3" max="3" width="18" customWidth="1"/>
    <col min="4" max="4" width="24.109375" customWidth="1"/>
  </cols>
  <sheetData>
    <row r="1" spans="1:4" x14ac:dyDescent="0.3">
      <c r="A1" t="s">
        <v>101</v>
      </c>
      <c r="B1" t="s">
        <v>93</v>
      </c>
      <c r="C1" t="s">
        <v>99</v>
      </c>
      <c r="D1" t="s">
        <v>100</v>
      </c>
    </row>
    <row r="2" spans="1:4" x14ac:dyDescent="0.3">
      <c r="A2" t="s">
        <v>94</v>
      </c>
      <c r="B2">
        <f>Exp1_PimoroniMLX90640MeanVrSD!B14</f>
        <v>1.081727272727272</v>
      </c>
      <c r="C2">
        <f>Exp1_RSPROT10MeanvarianceSD!B14</f>
        <v>0.94618181818181757</v>
      </c>
      <c r="D2">
        <f>'Exp1_ RobotShpMLXMeanvarianceSD'!B14</f>
        <v>1.1302272727272722</v>
      </c>
    </row>
    <row r="3" spans="1:4" x14ac:dyDescent="0.3">
      <c r="A3" t="s">
        <v>95</v>
      </c>
      <c r="B3">
        <f>Exp1_PimoroniMLX90640MeanVrSD!C14</f>
        <v>1.8360454545454545</v>
      </c>
      <c r="C3">
        <f>Exp1_RSPROT10MeanvarianceSD!C14</f>
        <v>0.63272727272727303</v>
      </c>
      <c r="D3">
        <f>'Exp1_ RobotShpMLXMeanvarianceSD'!C14</f>
        <v>2.0145454545454546</v>
      </c>
    </row>
    <row r="4" spans="1:4" x14ac:dyDescent="0.3">
      <c r="A4" t="s">
        <v>96</v>
      </c>
      <c r="B4">
        <f>Exp1_PimoroniMLX90640MeanVrSD!D14</f>
        <v>1.95</v>
      </c>
      <c r="C4">
        <f>Exp1_RSPROT10MeanvarianceSD!D14</f>
        <v>5.3747272727272719</v>
      </c>
      <c r="D4">
        <f>'Exp1_ RobotShpMLXMeanvarianceSD'!D14</f>
        <v>1.7909090909090906</v>
      </c>
    </row>
    <row r="5" spans="1:4" x14ac:dyDescent="0.3">
      <c r="A5" t="s">
        <v>97</v>
      </c>
      <c r="B5">
        <f>Exp1_PimoroniMLX90640MeanVrSD!E14</f>
        <v>3.1311363636363625</v>
      </c>
      <c r="C5">
        <f>Exp1_RSPROT10MeanvarianceSD!E14</f>
        <v>6.9969090909090896</v>
      </c>
      <c r="D5">
        <f>'Exp1_ RobotShpMLXMeanvarianceSD'!E14</f>
        <v>2.3870454545454551</v>
      </c>
    </row>
    <row r="6" spans="1:4" x14ac:dyDescent="0.3">
      <c r="A6" t="s">
        <v>98</v>
      </c>
      <c r="B6">
        <f>Exp1_PimoroniMLX90640MeanVrSD!F14</f>
        <v>4.9137272727272716</v>
      </c>
      <c r="C6">
        <f>Exp1_RSPROT10MeanvarianceSD!F14</f>
        <v>9.8727272727274791</v>
      </c>
      <c r="D6">
        <f>'Exp1_ RobotShpMLXMeanvarianceSD'!F14</f>
        <v>5.3845454545454547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1848-27DF-4A85-9848-66F58C4425D9}">
  <dimension ref="A1:J20"/>
  <sheetViews>
    <sheetView workbookViewId="0">
      <selection activeCell="K6" sqref="K6"/>
    </sheetView>
  </sheetViews>
  <sheetFormatPr defaultRowHeight="14.4" x14ac:dyDescent="0.3"/>
  <cols>
    <col min="1" max="2" width="20.77734375" customWidth="1"/>
    <col min="3" max="3" width="20.5546875" customWidth="1"/>
    <col min="4" max="4" width="19.77734375" customWidth="1"/>
  </cols>
  <sheetData>
    <row r="1" spans="1:4" x14ac:dyDescent="0.3">
      <c r="A1" t="s">
        <v>102</v>
      </c>
      <c r="B1" t="s">
        <v>93</v>
      </c>
      <c r="C1" t="s">
        <v>99</v>
      </c>
      <c r="D1" t="s">
        <v>100</v>
      </c>
    </row>
    <row r="2" spans="1:4" x14ac:dyDescent="0.3">
      <c r="A2" t="s">
        <v>94</v>
      </c>
      <c r="B2">
        <f>Exp1_PimoroniMLX90640MeanVrSD!B16</f>
        <v>1.0400611870112604</v>
      </c>
      <c r="C2">
        <f>Exp1_RSPROT10MeanvarianceSD!B16</f>
        <v>0.97271877651344718</v>
      </c>
      <c r="D2">
        <f>'Exp1_ RobotShpMLXMeanvarianceSD'!B16</f>
        <v>1.0631214759975796</v>
      </c>
    </row>
    <row r="3" spans="1:4" x14ac:dyDescent="0.3">
      <c r="A3" t="s">
        <v>95</v>
      </c>
      <c r="B3">
        <f>Exp1_PimoroniMLX90640MeanVrSD!C16</f>
        <v>1.3550075477817289</v>
      </c>
      <c r="C3">
        <f>Exp1_RSPROT10MeanvarianceSD!C16</f>
        <v>0.79544155833554042</v>
      </c>
      <c r="D3">
        <f>'Exp1_ RobotShpMLXMeanvarianceSD'!C16</f>
        <v>1.4193468408199086</v>
      </c>
    </row>
    <row r="4" spans="1:4" x14ac:dyDescent="0.3">
      <c r="A4" t="s">
        <v>96</v>
      </c>
      <c r="B4">
        <f>Exp1_PimoroniMLX90640MeanVrSD!D16</f>
        <v>1.3964240043768941</v>
      </c>
      <c r="C4">
        <f>Exp1_RSPROT10MeanvarianceSD!D16</f>
        <v>2.3183458052515098</v>
      </c>
      <c r="D4">
        <f>'Exp1_ RobotShpMLXMeanvarianceSD'!D16</f>
        <v>1.3382485161243747</v>
      </c>
    </row>
    <row r="5" spans="1:4" x14ac:dyDescent="0.3">
      <c r="A5" t="s">
        <v>97</v>
      </c>
      <c r="B5">
        <f>Exp1_PimoroniMLX90640MeanVrSD!E16</f>
        <v>1.7695017275030738</v>
      </c>
      <c r="C5">
        <f>Exp1_RSPROT10MeanvarianceSD!E16</f>
        <v>2.6451671196559756</v>
      </c>
      <c r="D5">
        <f>'Exp1_ RobotShpMLXMeanvarianceSD'!E16</f>
        <v>1.5450066195798176</v>
      </c>
    </row>
    <row r="6" spans="1:4" x14ac:dyDescent="0.3">
      <c r="A6" t="s">
        <v>98</v>
      </c>
      <c r="B6">
        <f>Exp1_PimoroniMLX90640MeanVrSD!F16</f>
        <v>2.2166928683801173</v>
      </c>
      <c r="C6">
        <f>Exp1_RSPROT10MeanvarianceSD!F16</f>
        <v>3.1420896347379204</v>
      </c>
      <c r="D6">
        <f>'Exp1_ RobotShpMLXMeanvarianceSD'!F16</f>
        <v>2.3204623363772692</v>
      </c>
    </row>
    <row r="20" spans="10:10" ht="18" x14ac:dyDescent="0.3">
      <c r="J20" s="2"/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B63B-1264-4ED5-8D91-A152E52BCE87}">
  <dimension ref="A2:K7"/>
  <sheetViews>
    <sheetView workbookViewId="0">
      <selection activeCell="H4" sqref="H4"/>
    </sheetView>
  </sheetViews>
  <sheetFormatPr defaultRowHeight="14.4" x14ac:dyDescent="0.3"/>
  <cols>
    <col min="1" max="1" width="16.88671875" customWidth="1"/>
    <col min="2" max="3" width="21.21875" customWidth="1"/>
    <col min="4" max="4" width="2.77734375" customWidth="1"/>
    <col min="5" max="5" width="9.5546875" customWidth="1"/>
    <col min="6" max="7" width="18.88671875" customWidth="1"/>
    <col min="8" max="8" width="8.88671875" customWidth="1"/>
    <col min="9" max="9" width="9.5546875" customWidth="1"/>
    <col min="10" max="10" width="24.5546875" customWidth="1"/>
    <col min="11" max="11" width="22.77734375" customWidth="1"/>
  </cols>
  <sheetData>
    <row r="2" spans="1:11" x14ac:dyDescent="0.3">
      <c r="A2" t="s">
        <v>92</v>
      </c>
      <c r="B2" t="s">
        <v>93</v>
      </c>
      <c r="C2" t="s">
        <v>105</v>
      </c>
      <c r="E2" t="s">
        <v>92</v>
      </c>
      <c r="F2" t="s">
        <v>99</v>
      </c>
      <c r="G2" t="s">
        <v>106</v>
      </c>
      <c r="I2" t="s">
        <v>92</v>
      </c>
      <c r="J2" t="s">
        <v>100</v>
      </c>
      <c r="K2" t="s">
        <v>107</v>
      </c>
    </row>
    <row r="3" spans="1:11" x14ac:dyDescent="0.3">
      <c r="A3" t="str">
        <f>Exp1_averageforeachthermalcamra!A2</f>
        <v>1 Metre</v>
      </c>
      <c r="B3">
        <f>Exp1_averageforeachthermalcamra!B2</f>
        <v>33.395454545454541</v>
      </c>
      <c r="C3">
        <f>Exp1_SDforeachThermalCamera!B2</f>
        <v>1.0400611870112604</v>
      </c>
      <c r="E3" t="s">
        <v>94</v>
      </c>
      <c r="F3">
        <f>Exp1_averageforeachthermalcamra!C2</f>
        <v>30.872727272727275</v>
      </c>
      <c r="G3">
        <f>Exp1_SDforeachThermalCamera!C2</f>
        <v>0.97271877651344718</v>
      </c>
      <c r="I3" t="s">
        <v>94</v>
      </c>
      <c r="J3">
        <f>Exp1_averageforeachthermalcamra!D2</f>
        <v>32.945454545454545</v>
      </c>
      <c r="K3">
        <f>Exp1_SDforeachThermalCamera!D2</f>
        <v>1.0631214759975796</v>
      </c>
    </row>
    <row r="4" spans="1:11" x14ac:dyDescent="0.3">
      <c r="A4" t="str">
        <f>Exp1_averageforeachthermalcamra!A3</f>
        <v>2 Metres</v>
      </c>
      <c r="B4">
        <f>Exp1_averageforeachthermalcamra!B3</f>
        <v>30.986363636363638</v>
      </c>
      <c r="C4">
        <f>Exp1_SDforeachThermalCamera!B3</f>
        <v>1.3550075477817289</v>
      </c>
      <c r="E4" t="s">
        <v>95</v>
      </c>
      <c r="F4">
        <f>Exp1_averageforeachthermalcamra!C3</f>
        <v>29.445454545454549</v>
      </c>
      <c r="G4">
        <f>Exp1_SDforeachThermalCamera!C3</f>
        <v>0.79544155833554042</v>
      </c>
      <c r="I4" t="s">
        <v>95</v>
      </c>
      <c r="J4">
        <f>Exp1_averageforeachthermalcamra!D3</f>
        <v>30.686363636363634</v>
      </c>
      <c r="K4">
        <f>Exp1_SDforeachThermalCamera!D3</f>
        <v>1.4193468408199086</v>
      </c>
    </row>
    <row r="5" spans="1:11" x14ac:dyDescent="0.3">
      <c r="A5" t="str">
        <f>Exp1_averageforeachthermalcamra!A4</f>
        <v>3 Metres</v>
      </c>
      <c r="B5">
        <f>Exp1_averageforeachthermalcamra!B4</f>
        <v>29.9</v>
      </c>
      <c r="C5">
        <f>Exp1_SDforeachThermalCamera!B4</f>
        <v>1.3964240043768941</v>
      </c>
      <c r="E5" t="s">
        <v>96</v>
      </c>
      <c r="F5">
        <f>Exp1_averageforeachthermalcamra!C4</f>
        <v>27.65454545454546</v>
      </c>
      <c r="G5">
        <f>Exp1_SDforeachThermalCamera!C4</f>
        <v>2.3183458052515098</v>
      </c>
      <c r="I5" t="s">
        <v>96</v>
      </c>
      <c r="J5">
        <f>Exp1_averageforeachthermalcamra!D4</f>
        <v>29.59090909090909</v>
      </c>
      <c r="K5">
        <f>Exp1_SDforeachThermalCamera!D4</f>
        <v>1.3382485161243747</v>
      </c>
    </row>
    <row r="6" spans="1:11" x14ac:dyDescent="0.3">
      <c r="A6" t="str">
        <f>Exp1_averageforeachthermalcamra!A5</f>
        <v>4 Metres</v>
      </c>
      <c r="B6">
        <f>Exp1_averageforeachthermalcamra!B5</f>
        <v>29.218181818181815</v>
      </c>
      <c r="C6">
        <f>Exp1_SDforeachThermalCamera!B5</f>
        <v>1.7695017275030738</v>
      </c>
      <c r="E6" t="s">
        <v>97</v>
      </c>
      <c r="F6">
        <f>Exp1_averageforeachthermalcamra!C5</f>
        <v>26.309090909090909</v>
      </c>
      <c r="G6">
        <f>Exp1_SDforeachThermalCamera!C5</f>
        <v>2.6451671196559756</v>
      </c>
      <c r="I6" t="s">
        <v>97</v>
      </c>
      <c r="J6">
        <f>Exp1_averageforeachthermalcamra!D5</f>
        <v>28.563636363636363</v>
      </c>
      <c r="K6">
        <f>Exp1_SDforeachThermalCamera!D5</f>
        <v>1.5450066195798176</v>
      </c>
    </row>
    <row r="7" spans="1:11" x14ac:dyDescent="0.3">
      <c r="A7" t="str">
        <f>Exp1_averageforeachthermalcamra!A6</f>
        <v>5 Metres</v>
      </c>
      <c r="B7">
        <f>Exp1_averageforeachthermalcamra!B6</f>
        <v>28.09545454545454</v>
      </c>
      <c r="C7">
        <f>Exp1_SDforeachThermalCamera!B6</f>
        <v>2.2166928683801173</v>
      </c>
      <c r="E7" t="s">
        <v>98</v>
      </c>
      <c r="F7">
        <f>Exp1_averageforeachthermalcamra!C6</f>
        <v>25.34545454545454</v>
      </c>
      <c r="G7">
        <f>Exp1_SDforeachThermalCamera!C6</f>
        <v>3.1420896347379204</v>
      </c>
      <c r="I7" t="s">
        <v>98</v>
      </c>
      <c r="J7">
        <f>Exp1_averageforeachthermalcamra!D6</f>
        <v>28.013636363636362</v>
      </c>
      <c r="K7">
        <f>Exp1_SDforeachThermalCamera!D6</f>
        <v>2.3204623363772692</v>
      </c>
    </row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3981-573A-4E3C-8E10-F7BA8DFA0C0A}">
  <dimension ref="A1:I7"/>
  <sheetViews>
    <sheetView topLeftCell="B17" workbookViewId="0">
      <selection activeCell="K43" sqref="K43"/>
    </sheetView>
  </sheetViews>
  <sheetFormatPr defaultRowHeight="14.4" x14ac:dyDescent="0.3"/>
  <cols>
    <col min="1" max="1" width="12.44140625" customWidth="1"/>
    <col min="2" max="2" width="20.33203125" customWidth="1"/>
    <col min="3" max="3" width="23.44140625" customWidth="1"/>
    <col min="4" max="4" width="18" customWidth="1"/>
    <col min="5" max="5" width="21.21875" customWidth="1"/>
    <col min="6" max="6" width="14" customWidth="1"/>
    <col min="7" max="7" width="16.109375" customWidth="1"/>
    <col min="8" max="8" width="14.33203125" customWidth="1"/>
    <col min="9" max="9" width="22.44140625" customWidth="1"/>
    <col min="10" max="10" width="12.77734375" customWidth="1"/>
    <col min="11" max="11" width="21.21875" customWidth="1"/>
  </cols>
  <sheetData>
    <row r="1" spans="1:9" ht="23.4" x14ac:dyDescent="0.45">
      <c r="B1" s="10" t="s">
        <v>118</v>
      </c>
      <c r="F1" s="10" t="s">
        <v>119</v>
      </c>
    </row>
    <row r="2" spans="1:9" x14ac:dyDescent="0.3">
      <c r="A2" t="s">
        <v>92</v>
      </c>
      <c r="B2" t="s">
        <v>93</v>
      </c>
      <c r="C2" t="s">
        <v>99</v>
      </c>
      <c r="D2" t="s">
        <v>100</v>
      </c>
      <c r="F2" s="4" t="s">
        <v>92</v>
      </c>
      <c r="G2" s="5" t="s">
        <v>105</v>
      </c>
      <c r="H2" s="5" t="s">
        <v>106</v>
      </c>
      <c r="I2" s="5" t="s">
        <v>107</v>
      </c>
    </row>
    <row r="3" spans="1:9" x14ac:dyDescent="0.3">
      <c r="A3" t="str">
        <f>Exp1_averageforeachthermalcamra!A2</f>
        <v>1 Metre</v>
      </c>
      <c r="B3">
        <f>Exp1_averageforeachthermalcamra!B2</f>
        <v>33.395454545454541</v>
      </c>
      <c r="C3">
        <f>Exp1_averageforeachthermalcamra!C2</f>
        <v>30.872727272727275</v>
      </c>
      <c r="D3">
        <f>Exp1_averageforeachthermalcamra!D2</f>
        <v>32.945454545454545</v>
      </c>
      <c r="F3" s="6" t="s">
        <v>94</v>
      </c>
      <c r="G3" s="7">
        <f>Exp1_SDforeachThermalCamera!B2</f>
        <v>1.0400611870112604</v>
      </c>
      <c r="H3" s="7">
        <f>Exp1_SDforeachThermalCamera!C2</f>
        <v>0.97271877651344718</v>
      </c>
      <c r="I3" s="7">
        <f>Exp1_SDforeachThermalCamera!D2</f>
        <v>1.0631214759975796</v>
      </c>
    </row>
    <row r="4" spans="1:9" x14ac:dyDescent="0.3">
      <c r="A4" t="str">
        <f>Exp1_averageforeachthermalcamra!A3</f>
        <v>2 Metres</v>
      </c>
      <c r="B4">
        <f>Exp1_averageforeachthermalcamra!B3</f>
        <v>30.986363636363638</v>
      </c>
      <c r="C4">
        <f>Exp1_averageforeachthermalcamra!C3</f>
        <v>29.445454545454549</v>
      </c>
      <c r="D4">
        <f>Exp1_averageforeachthermalcamra!D3</f>
        <v>30.686363636363634</v>
      </c>
      <c r="F4" s="8" t="s">
        <v>95</v>
      </c>
      <c r="G4" s="9">
        <f>Exp1_SDforeachThermalCamera!B3</f>
        <v>1.3550075477817289</v>
      </c>
      <c r="H4" s="9">
        <f>Exp1_SDforeachThermalCamera!C3</f>
        <v>0.79544155833554042</v>
      </c>
      <c r="I4" s="9">
        <f>Exp1_SDforeachThermalCamera!D3</f>
        <v>1.4193468408199086</v>
      </c>
    </row>
    <row r="5" spans="1:9" x14ac:dyDescent="0.3">
      <c r="A5" t="str">
        <f>Exp1_averageforeachthermalcamra!A4</f>
        <v>3 Metres</v>
      </c>
      <c r="B5">
        <f>Exp1_averageforeachthermalcamra!B4</f>
        <v>29.9</v>
      </c>
      <c r="C5">
        <f>Exp1_averageforeachthermalcamra!C4</f>
        <v>27.65454545454546</v>
      </c>
      <c r="D5">
        <f>Exp1_averageforeachthermalcamra!D4</f>
        <v>29.59090909090909</v>
      </c>
      <c r="F5" s="6" t="s">
        <v>96</v>
      </c>
      <c r="G5" s="7">
        <f>Exp1_SDforeachThermalCamera!B4</f>
        <v>1.3964240043768941</v>
      </c>
      <c r="H5" s="7">
        <f>Exp1_SDforeachThermalCamera!C4</f>
        <v>2.3183458052515098</v>
      </c>
      <c r="I5" s="7">
        <f>Exp1_SDforeachThermalCamera!D4</f>
        <v>1.3382485161243747</v>
      </c>
    </row>
    <row r="6" spans="1:9" x14ac:dyDescent="0.3">
      <c r="A6" t="str">
        <f>Exp1_averageforeachthermalcamra!A5</f>
        <v>4 Metres</v>
      </c>
      <c r="B6">
        <f>Exp1_averageforeachthermalcamra!B5</f>
        <v>29.218181818181815</v>
      </c>
      <c r="C6">
        <f>Exp1_averageforeachthermalcamra!C5</f>
        <v>26.309090909090909</v>
      </c>
      <c r="D6">
        <f>Exp1_averageforeachthermalcamra!D5</f>
        <v>28.563636363636363</v>
      </c>
      <c r="F6" s="8" t="s">
        <v>97</v>
      </c>
      <c r="G6" s="9">
        <f>Exp1_SDforeachThermalCamera!B5</f>
        <v>1.7695017275030738</v>
      </c>
      <c r="H6" s="9">
        <f>Exp1_SDforeachThermalCamera!C5</f>
        <v>2.6451671196559756</v>
      </c>
      <c r="I6" s="9">
        <f>Exp1_SDforeachThermalCamera!D5</f>
        <v>1.5450066195798176</v>
      </c>
    </row>
    <row r="7" spans="1:9" x14ac:dyDescent="0.3">
      <c r="A7" t="str">
        <f>Exp1_averageforeachthermalcamra!A6</f>
        <v>5 Metres</v>
      </c>
      <c r="B7">
        <f>Exp1_averageforeachthermalcamra!B6</f>
        <v>28.09545454545454</v>
      </c>
      <c r="C7">
        <f>Exp1_averageforeachthermalcamra!C6</f>
        <v>25.34545454545454</v>
      </c>
      <c r="D7">
        <f>Exp1_averageforeachthermalcamra!D6</f>
        <v>28.013636363636362</v>
      </c>
      <c r="F7" s="6" t="s">
        <v>98</v>
      </c>
      <c r="G7" s="7">
        <f>Exp1_SDforeachThermalCamera!B6</f>
        <v>2.2166928683801173</v>
      </c>
      <c r="H7" s="7">
        <f>Exp1_SDforeachThermalCamera!C6</f>
        <v>3.1420896347379204</v>
      </c>
      <c r="I7" s="7">
        <f>Exp1_SDforeachThermalCamera!D6</f>
        <v>2.3204623363772692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A0AF-5D6C-46F7-8322-1F2AB251657B}">
  <dimension ref="A1:G13"/>
  <sheetViews>
    <sheetView topLeftCell="A14" workbookViewId="0">
      <selection activeCell="D2" sqref="D2:D6"/>
    </sheetView>
  </sheetViews>
  <sheetFormatPr defaultRowHeight="14.4" x14ac:dyDescent="0.3"/>
  <cols>
    <col min="1" max="1" width="15.21875" customWidth="1"/>
    <col min="2" max="2" width="30.5546875" customWidth="1"/>
    <col min="3" max="3" width="26.88671875" customWidth="1"/>
    <col min="4" max="4" width="35.77734375" customWidth="1"/>
    <col min="5" max="5" width="24.5546875" customWidth="1"/>
    <col min="6" max="6" width="13.77734375" customWidth="1"/>
    <col min="7" max="7" width="27.218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127</v>
      </c>
      <c r="B2">
        <v>30.1</v>
      </c>
      <c r="C2">
        <v>29.7</v>
      </c>
      <c r="D2">
        <v>30</v>
      </c>
      <c r="E2">
        <v>36.5</v>
      </c>
      <c r="F2">
        <v>1</v>
      </c>
      <c r="G2">
        <v>16.5</v>
      </c>
    </row>
    <row r="3" spans="1:7" x14ac:dyDescent="0.3">
      <c r="A3" t="s">
        <v>128</v>
      </c>
      <c r="B3">
        <v>25.1</v>
      </c>
      <c r="C3">
        <v>29</v>
      </c>
      <c r="D3">
        <v>24.9</v>
      </c>
      <c r="E3">
        <v>36.5</v>
      </c>
      <c r="F3">
        <v>2</v>
      </c>
      <c r="G3">
        <v>16.5</v>
      </c>
    </row>
    <row r="4" spans="1:7" x14ac:dyDescent="0.3">
      <c r="A4" t="s">
        <v>129</v>
      </c>
      <c r="B4">
        <v>23</v>
      </c>
      <c r="C4">
        <v>24</v>
      </c>
      <c r="D4">
        <v>23</v>
      </c>
      <c r="E4">
        <v>36.5</v>
      </c>
      <c r="F4">
        <v>3</v>
      </c>
      <c r="G4">
        <v>16.5</v>
      </c>
    </row>
    <row r="5" spans="1:7" x14ac:dyDescent="0.3">
      <c r="A5" t="s">
        <v>130</v>
      </c>
      <c r="B5">
        <v>22</v>
      </c>
      <c r="C5">
        <v>24</v>
      </c>
      <c r="D5">
        <v>21</v>
      </c>
      <c r="E5">
        <v>36.5</v>
      </c>
      <c r="F5">
        <v>4</v>
      </c>
      <c r="G5">
        <v>16.5</v>
      </c>
    </row>
    <row r="6" spans="1:7" x14ac:dyDescent="0.3">
      <c r="A6" t="s">
        <v>131</v>
      </c>
      <c r="B6">
        <v>21</v>
      </c>
      <c r="C6">
        <v>24</v>
      </c>
      <c r="D6">
        <v>21</v>
      </c>
      <c r="E6">
        <v>36.5</v>
      </c>
      <c r="F6">
        <v>5</v>
      </c>
      <c r="G6">
        <v>16.5</v>
      </c>
    </row>
    <row r="9" spans="1:7" x14ac:dyDescent="0.3">
      <c r="A9" t="s">
        <v>184</v>
      </c>
      <c r="B9">
        <f>AVERAGE(B2:B6)</f>
        <v>24.240000000000002</v>
      </c>
      <c r="C9">
        <f>AVERAGE(C2:C6)</f>
        <v>26.139999999999997</v>
      </c>
      <c r="D9">
        <f>AVERAGE(D2:D6)</f>
        <v>23.98</v>
      </c>
    </row>
    <row r="13" spans="1:7" x14ac:dyDescent="0.3">
      <c r="B13" t="s">
        <v>132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1277-C668-45F8-9252-1286FAEC574A}">
  <dimension ref="A1:G13"/>
  <sheetViews>
    <sheetView topLeftCell="A11" workbookViewId="0">
      <selection activeCell="D2" sqref="D2:D6"/>
    </sheetView>
  </sheetViews>
  <sheetFormatPr defaultRowHeight="14.4" x14ac:dyDescent="0.3"/>
  <cols>
    <col min="1" max="1" width="14.5546875" customWidth="1"/>
    <col min="2" max="2" width="29.44140625" customWidth="1"/>
    <col min="3" max="3" width="24.44140625" customWidth="1"/>
    <col min="4" max="4" width="32" customWidth="1"/>
    <col min="5" max="5" width="24.21875" customWidth="1"/>
    <col min="6" max="6" width="12.5546875" customWidth="1"/>
    <col min="7" max="7" width="27.4414062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133</v>
      </c>
      <c r="B2">
        <v>29</v>
      </c>
      <c r="C2">
        <v>29.3</v>
      </c>
      <c r="D2">
        <v>29.5</v>
      </c>
      <c r="E2">
        <v>35.700000000000003</v>
      </c>
      <c r="F2">
        <v>1</v>
      </c>
      <c r="G2">
        <v>16</v>
      </c>
    </row>
    <row r="3" spans="1:7" x14ac:dyDescent="0.3">
      <c r="A3" t="s">
        <v>134</v>
      </c>
      <c r="B3">
        <v>24.5</v>
      </c>
      <c r="C3">
        <v>29</v>
      </c>
      <c r="D3">
        <v>25.75</v>
      </c>
      <c r="E3">
        <v>35.700000000000003</v>
      </c>
      <c r="F3">
        <v>2</v>
      </c>
      <c r="G3">
        <v>16</v>
      </c>
    </row>
    <row r="4" spans="1:7" x14ac:dyDescent="0.3">
      <c r="A4" t="s">
        <v>135</v>
      </c>
      <c r="B4">
        <v>23.5</v>
      </c>
      <c r="C4">
        <v>27.8</v>
      </c>
      <c r="D4">
        <v>24</v>
      </c>
      <c r="E4">
        <v>35.700000000000003</v>
      </c>
      <c r="F4">
        <v>3</v>
      </c>
      <c r="G4">
        <v>16</v>
      </c>
    </row>
    <row r="5" spans="1:7" x14ac:dyDescent="0.3">
      <c r="A5" t="s">
        <v>136</v>
      </c>
      <c r="B5">
        <v>22</v>
      </c>
      <c r="C5">
        <v>27.8</v>
      </c>
      <c r="D5">
        <v>24</v>
      </c>
      <c r="E5">
        <v>35.700000000000003</v>
      </c>
      <c r="F5">
        <v>4</v>
      </c>
      <c r="G5">
        <v>16</v>
      </c>
    </row>
    <row r="6" spans="1:7" x14ac:dyDescent="0.3">
      <c r="A6" t="s">
        <v>137</v>
      </c>
      <c r="B6">
        <v>21.5</v>
      </c>
      <c r="C6">
        <v>25</v>
      </c>
      <c r="D6">
        <v>22.5</v>
      </c>
      <c r="E6">
        <v>35.700000000000003</v>
      </c>
      <c r="F6">
        <v>5</v>
      </c>
      <c r="G6">
        <v>16</v>
      </c>
    </row>
    <row r="9" spans="1:7" x14ac:dyDescent="0.3">
      <c r="A9" t="s">
        <v>184</v>
      </c>
      <c r="B9">
        <f>AVERAGE(B2:B6)</f>
        <v>24.1</v>
      </c>
      <c r="C9">
        <f>AVERAGE(C2:C6)</f>
        <v>27.779999999999994</v>
      </c>
      <c r="D9">
        <f>AVERAGE(D2:D6)</f>
        <v>25.15</v>
      </c>
    </row>
    <row r="13" spans="1:7" x14ac:dyDescent="0.3">
      <c r="B13" t="s">
        <v>138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FCF3-1451-4C9E-A25F-9DD37AF5F277}">
  <dimension ref="A1:G14"/>
  <sheetViews>
    <sheetView topLeftCell="A15" workbookViewId="0">
      <selection activeCell="B23" sqref="B23"/>
    </sheetView>
  </sheetViews>
  <sheetFormatPr defaultRowHeight="14.4" x14ac:dyDescent="0.3"/>
  <cols>
    <col min="1" max="1" width="14.6640625" customWidth="1"/>
    <col min="2" max="2" width="30.33203125" customWidth="1"/>
    <col min="3" max="3" width="23.77734375" customWidth="1"/>
    <col min="4" max="4" width="31" customWidth="1"/>
    <col min="5" max="5" width="24.109375" customWidth="1"/>
    <col min="6" max="6" width="12.5546875" customWidth="1"/>
    <col min="7" max="7" width="26.777343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133</v>
      </c>
      <c r="B2">
        <v>29.7</v>
      </c>
      <c r="C2">
        <v>30</v>
      </c>
      <c r="D2">
        <v>31.5</v>
      </c>
      <c r="E2">
        <v>35.700000000000003</v>
      </c>
      <c r="F2">
        <v>1</v>
      </c>
      <c r="G2">
        <v>16</v>
      </c>
    </row>
    <row r="3" spans="1:7" x14ac:dyDescent="0.3">
      <c r="A3" t="s">
        <v>134</v>
      </c>
      <c r="B3">
        <v>25.7</v>
      </c>
      <c r="C3">
        <v>29.8</v>
      </c>
      <c r="D3">
        <v>27</v>
      </c>
      <c r="E3">
        <v>35.700000000000003</v>
      </c>
      <c r="F3">
        <v>2</v>
      </c>
      <c r="G3">
        <v>16</v>
      </c>
    </row>
    <row r="4" spans="1:7" x14ac:dyDescent="0.3">
      <c r="A4" t="s">
        <v>135</v>
      </c>
      <c r="B4">
        <v>23.8</v>
      </c>
      <c r="C4">
        <v>28.9</v>
      </c>
      <c r="D4">
        <v>24.3</v>
      </c>
      <c r="E4">
        <v>35.700000000000003</v>
      </c>
      <c r="F4">
        <v>3</v>
      </c>
      <c r="G4">
        <v>16</v>
      </c>
    </row>
    <row r="5" spans="1:7" x14ac:dyDescent="0.3">
      <c r="A5" t="s">
        <v>136</v>
      </c>
      <c r="B5">
        <v>21.8</v>
      </c>
      <c r="C5">
        <v>27.3</v>
      </c>
      <c r="D5">
        <v>22.5</v>
      </c>
      <c r="E5">
        <v>35.700000000000003</v>
      </c>
      <c r="F5">
        <v>4</v>
      </c>
      <c r="G5">
        <v>16</v>
      </c>
    </row>
    <row r="6" spans="1:7" x14ac:dyDescent="0.3">
      <c r="A6" t="s">
        <v>137</v>
      </c>
      <c r="B6">
        <v>21.5</v>
      </c>
      <c r="C6">
        <v>26.2</v>
      </c>
      <c r="D6">
        <v>22</v>
      </c>
      <c r="E6">
        <v>35.700000000000003</v>
      </c>
      <c r="F6">
        <v>5</v>
      </c>
      <c r="G6">
        <v>16</v>
      </c>
    </row>
    <row r="9" spans="1:7" x14ac:dyDescent="0.3">
      <c r="A9" t="s">
        <v>184</v>
      </c>
      <c r="B9">
        <f>AVERAGE(B2:B6)</f>
        <v>24.5</v>
      </c>
      <c r="C9">
        <f>AVERAGE(C2:C6)</f>
        <v>28.439999999999998</v>
      </c>
      <c r="D9">
        <f>AVERAGE(D2:D6)</f>
        <v>25.46</v>
      </c>
    </row>
    <row r="14" spans="1:7" x14ac:dyDescent="0.3">
      <c r="B14" t="s">
        <v>139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E30B-D08D-4758-8108-C75BE56F01D2}">
  <dimension ref="A1:G15"/>
  <sheetViews>
    <sheetView workbookViewId="0">
      <selection activeCell="D2" sqref="D2:D6"/>
    </sheetView>
  </sheetViews>
  <sheetFormatPr defaultRowHeight="14.4" x14ac:dyDescent="0.3"/>
  <cols>
    <col min="1" max="1" width="13.6640625" customWidth="1"/>
    <col min="2" max="2" width="29.77734375" customWidth="1"/>
    <col min="3" max="3" width="24.88671875" customWidth="1"/>
    <col min="4" max="4" width="31.88671875" customWidth="1"/>
    <col min="5" max="5" width="24.21875" customWidth="1"/>
    <col min="6" max="6" width="12.5546875" customWidth="1"/>
    <col min="7" max="7" width="27.1093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140</v>
      </c>
      <c r="B2">
        <v>28.1</v>
      </c>
      <c r="C2">
        <v>30.4</v>
      </c>
      <c r="D2">
        <v>29</v>
      </c>
      <c r="E2">
        <v>36</v>
      </c>
      <c r="F2">
        <v>1</v>
      </c>
      <c r="G2">
        <v>16.5</v>
      </c>
    </row>
    <row r="3" spans="1:7" x14ac:dyDescent="0.3">
      <c r="A3" t="s">
        <v>141</v>
      </c>
      <c r="B3">
        <v>24.5</v>
      </c>
      <c r="C3">
        <v>29.2</v>
      </c>
      <c r="D3">
        <v>25.6</v>
      </c>
      <c r="E3">
        <v>36</v>
      </c>
      <c r="F3">
        <v>2</v>
      </c>
      <c r="G3">
        <v>16.5</v>
      </c>
    </row>
    <row r="4" spans="1:7" x14ac:dyDescent="0.3">
      <c r="A4" t="s">
        <v>142</v>
      </c>
      <c r="B4">
        <v>23.5</v>
      </c>
      <c r="C4">
        <v>27.5</v>
      </c>
      <c r="D4">
        <v>24</v>
      </c>
      <c r="E4">
        <v>36</v>
      </c>
      <c r="F4">
        <v>3</v>
      </c>
      <c r="G4">
        <v>16.5</v>
      </c>
    </row>
    <row r="5" spans="1:7" x14ac:dyDescent="0.3">
      <c r="A5" t="s">
        <v>143</v>
      </c>
      <c r="B5">
        <v>22</v>
      </c>
      <c r="C5">
        <v>26.2</v>
      </c>
      <c r="D5">
        <v>22.5</v>
      </c>
      <c r="E5">
        <v>36</v>
      </c>
      <c r="F5">
        <v>4</v>
      </c>
      <c r="G5">
        <v>16.5</v>
      </c>
    </row>
    <row r="6" spans="1:7" x14ac:dyDescent="0.3">
      <c r="A6" t="s">
        <v>144</v>
      </c>
      <c r="B6">
        <v>22</v>
      </c>
      <c r="C6">
        <v>24.2</v>
      </c>
      <c r="D6">
        <v>22</v>
      </c>
      <c r="E6">
        <v>36</v>
      </c>
      <c r="F6">
        <v>5</v>
      </c>
      <c r="G6">
        <v>16.5</v>
      </c>
    </row>
    <row r="9" spans="1:7" x14ac:dyDescent="0.3">
      <c r="A9" t="s">
        <v>184</v>
      </c>
      <c r="B9">
        <f>AVERAGE(B2:B6)</f>
        <v>24.02</v>
      </c>
      <c r="C9">
        <f>AVERAGE(C2:C6)</f>
        <v>27.5</v>
      </c>
      <c r="D9">
        <f>AVERAGE(D2:D6)</f>
        <v>24.619999999999997</v>
      </c>
    </row>
    <row r="15" spans="1:7" x14ac:dyDescent="0.3">
      <c r="B15" t="s">
        <v>145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C0DA-C03C-46ED-8C48-F4288A6B6B2E}">
  <dimension ref="A1:G14"/>
  <sheetViews>
    <sheetView topLeftCell="A7" workbookViewId="0">
      <selection activeCell="G13" sqref="G13"/>
    </sheetView>
  </sheetViews>
  <sheetFormatPr defaultRowHeight="14.4" x14ac:dyDescent="0.3"/>
  <cols>
    <col min="1" max="1" width="14.88671875" customWidth="1"/>
    <col min="2" max="2" width="30.77734375" customWidth="1"/>
    <col min="3" max="3" width="25.109375" customWidth="1"/>
    <col min="4" max="4" width="31.77734375" customWidth="1"/>
    <col min="5" max="5" width="24.77734375" customWidth="1"/>
    <col min="6" max="6" width="12.33203125" customWidth="1"/>
    <col min="7" max="7" width="26.1093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146</v>
      </c>
      <c r="B2">
        <v>29</v>
      </c>
      <c r="C2">
        <v>29.7</v>
      </c>
      <c r="D2">
        <v>30</v>
      </c>
      <c r="E2">
        <v>36</v>
      </c>
      <c r="F2">
        <v>1</v>
      </c>
      <c r="G2">
        <v>17</v>
      </c>
    </row>
    <row r="3" spans="1:7" x14ac:dyDescent="0.3">
      <c r="A3" t="s">
        <v>147</v>
      </c>
      <c r="B3">
        <v>26.5</v>
      </c>
      <c r="C3">
        <v>28.7</v>
      </c>
      <c r="D3">
        <v>26.8</v>
      </c>
      <c r="E3">
        <v>36</v>
      </c>
      <c r="F3">
        <v>2</v>
      </c>
      <c r="G3">
        <v>17</v>
      </c>
    </row>
    <row r="4" spans="1:7" x14ac:dyDescent="0.3">
      <c r="A4" t="s">
        <v>148</v>
      </c>
      <c r="B4">
        <v>24</v>
      </c>
      <c r="C4">
        <v>27.9</v>
      </c>
      <c r="D4">
        <v>24.5</v>
      </c>
      <c r="E4">
        <v>36</v>
      </c>
      <c r="F4">
        <v>3</v>
      </c>
      <c r="G4">
        <v>17</v>
      </c>
    </row>
    <row r="5" spans="1:7" x14ac:dyDescent="0.3">
      <c r="A5" t="s">
        <v>149</v>
      </c>
      <c r="B5">
        <v>23</v>
      </c>
      <c r="C5">
        <v>26.3</v>
      </c>
      <c r="D5">
        <v>24.4</v>
      </c>
      <c r="E5">
        <v>36</v>
      </c>
      <c r="F5">
        <v>4</v>
      </c>
      <c r="G5">
        <v>17</v>
      </c>
    </row>
    <row r="6" spans="1:7" x14ac:dyDescent="0.3">
      <c r="A6" t="s">
        <v>150</v>
      </c>
      <c r="B6">
        <v>22.8</v>
      </c>
      <c r="C6">
        <v>26.1</v>
      </c>
      <c r="D6">
        <v>23</v>
      </c>
      <c r="E6">
        <v>36</v>
      </c>
      <c r="F6">
        <v>5</v>
      </c>
      <c r="G6">
        <v>17</v>
      </c>
    </row>
    <row r="9" spans="1:7" x14ac:dyDescent="0.3">
      <c r="A9" t="s">
        <v>185</v>
      </c>
      <c r="B9">
        <f>AVERAGE(B2:B6)</f>
        <v>25.06</v>
      </c>
      <c r="C9">
        <f>AVERAGE(C2:C6)</f>
        <v>27.74</v>
      </c>
      <c r="D9">
        <f>AVERAGE(D2:D6)</f>
        <v>25.74</v>
      </c>
    </row>
    <row r="14" spans="1:7" x14ac:dyDescent="0.3">
      <c r="B14" t="s">
        <v>151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48F6-1BB4-4C38-9400-36F9A8C89234}">
  <dimension ref="A1:G16"/>
  <sheetViews>
    <sheetView workbookViewId="0">
      <selection activeCell="D2" sqref="D2:D6"/>
    </sheetView>
  </sheetViews>
  <sheetFormatPr defaultRowHeight="14.4" x14ac:dyDescent="0.3"/>
  <cols>
    <col min="1" max="1" width="14" customWidth="1"/>
    <col min="2" max="2" width="30.5546875" customWidth="1"/>
    <col min="3" max="3" width="24.88671875" customWidth="1"/>
    <col min="4" max="4" width="31.77734375" customWidth="1"/>
    <col min="5" max="5" width="24.44140625" customWidth="1"/>
    <col min="6" max="6" width="13.33203125" customWidth="1"/>
    <col min="7" max="7" width="27.886718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152</v>
      </c>
      <c r="B2">
        <v>29.8</v>
      </c>
      <c r="C2">
        <v>29.9</v>
      </c>
      <c r="D2">
        <v>31</v>
      </c>
      <c r="E2">
        <v>36</v>
      </c>
      <c r="F2">
        <v>1</v>
      </c>
      <c r="G2">
        <v>36</v>
      </c>
    </row>
    <row r="3" spans="1:7" x14ac:dyDescent="0.3">
      <c r="A3" t="s">
        <v>153</v>
      </c>
      <c r="B3">
        <v>26.3</v>
      </c>
      <c r="C3">
        <v>29.2</v>
      </c>
      <c r="D3">
        <v>27.5</v>
      </c>
      <c r="E3">
        <v>36</v>
      </c>
      <c r="F3">
        <v>2</v>
      </c>
      <c r="G3">
        <v>36</v>
      </c>
    </row>
    <row r="4" spans="1:7" x14ac:dyDescent="0.3">
      <c r="A4" t="s">
        <v>154</v>
      </c>
      <c r="B4">
        <v>24.5</v>
      </c>
      <c r="C4">
        <v>28.4</v>
      </c>
      <c r="D4">
        <v>25</v>
      </c>
      <c r="E4">
        <v>36</v>
      </c>
      <c r="F4">
        <v>3</v>
      </c>
      <c r="G4">
        <v>36</v>
      </c>
    </row>
    <row r="5" spans="1:7" x14ac:dyDescent="0.3">
      <c r="A5" t="s">
        <v>155</v>
      </c>
      <c r="B5">
        <v>23</v>
      </c>
      <c r="C5">
        <v>27.5</v>
      </c>
      <c r="D5">
        <v>24.5</v>
      </c>
      <c r="E5">
        <v>36</v>
      </c>
      <c r="F5">
        <v>4</v>
      </c>
      <c r="G5">
        <v>36</v>
      </c>
    </row>
    <row r="6" spans="1:7" x14ac:dyDescent="0.3">
      <c r="A6" t="s">
        <v>156</v>
      </c>
      <c r="B6">
        <v>22.5</v>
      </c>
      <c r="C6">
        <v>26.4</v>
      </c>
      <c r="D6">
        <v>23.8</v>
      </c>
      <c r="E6">
        <v>36</v>
      </c>
      <c r="F6">
        <v>5</v>
      </c>
      <c r="G6">
        <v>36</v>
      </c>
    </row>
    <row r="9" spans="1:7" x14ac:dyDescent="0.3">
      <c r="A9" t="s">
        <v>184</v>
      </c>
      <c r="B9">
        <f>AVERAGE(B2:B6)</f>
        <v>25.22</v>
      </c>
      <c r="C9">
        <f>AVERAGE(C2:C6)</f>
        <v>28.28</v>
      </c>
      <c r="D9">
        <f>AVERAGE(D2:D6)</f>
        <v>26.360000000000003</v>
      </c>
    </row>
    <row r="16" spans="1:7" x14ac:dyDescent="0.3">
      <c r="B16" t="s">
        <v>157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E086-9646-4ED6-B9B4-1BA5EDA123BD}">
  <dimension ref="A1:G12"/>
  <sheetViews>
    <sheetView workbookViewId="0">
      <selection activeCell="D2" sqref="D2:D6"/>
    </sheetView>
  </sheetViews>
  <sheetFormatPr defaultRowHeight="14.4" x14ac:dyDescent="0.3"/>
  <cols>
    <col min="1" max="1" width="13.44140625" customWidth="1"/>
    <col min="2" max="2" width="31.21875" customWidth="1"/>
    <col min="3" max="3" width="24.44140625" customWidth="1"/>
    <col min="4" max="4" width="31.88671875" customWidth="1"/>
    <col min="5" max="5" width="24.88671875" customWidth="1"/>
    <col min="6" max="6" width="12.88671875" customWidth="1"/>
    <col min="7" max="7" width="28.886718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158</v>
      </c>
      <c r="B2">
        <v>30</v>
      </c>
      <c r="C2">
        <v>30.4</v>
      </c>
      <c r="D2">
        <v>30.5</v>
      </c>
      <c r="E2">
        <v>35.700000000000003</v>
      </c>
      <c r="F2">
        <v>1</v>
      </c>
      <c r="G2">
        <v>16.5</v>
      </c>
    </row>
    <row r="3" spans="1:7" x14ac:dyDescent="0.3">
      <c r="A3" t="s">
        <v>159</v>
      </c>
      <c r="B3">
        <v>26.5</v>
      </c>
      <c r="C3">
        <v>28.6</v>
      </c>
      <c r="D3">
        <v>26</v>
      </c>
      <c r="E3">
        <v>35.700000000000003</v>
      </c>
      <c r="F3">
        <v>2</v>
      </c>
      <c r="G3">
        <v>16.5</v>
      </c>
    </row>
    <row r="4" spans="1:7" x14ac:dyDescent="0.3">
      <c r="A4" t="s">
        <v>160</v>
      </c>
      <c r="B4">
        <v>24</v>
      </c>
      <c r="C4">
        <v>26.2</v>
      </c>
      <c r="D4">
        <v>24.5</v>
      </c>
      <c r="E4">
        <v>35.700000000000003</v>
      </c>
      <c r="F4">
        <v>3</v>
      </c>
      <c r="G4">
        <v>16.5</v>
      </c>
    </row>
    <row r="5" spans="1:7" x14ac:dyDescent="0.3">
      <c r="A5" t="s">
        <v>161</v>
      </c>
      <c r="B5">
        <v>22.5</v>
      </c>
      <c r="C5">
        <v>24.6</v>
      </c>
      <c r="D5">
        <v>23</v>
      </c>
      <c r="E5">
        <v>35.700000000000003</v>
      </c>
      <c r="F5">
        <v>4</v>
      </c>
      <c r="G5">
        <v>16.5</v>
      </c>
    </row>
    <row r="6" spans="1:7" x14ac:dyDescent="0.3">
      <c r="A6" t="s">
        <v>162</v>
      </c>
      <c r="B6">
        <v>21.8</v>
      </c>
      <c r="C6">
        <v>22.9</v>
      </c>
      <c r="D6">
        <v>22.5</v>
      </c>
      <c r="E6">
        <v>35.700000000000003</v>
      </c>
      <c r="F6">
        <v>5</v>
      </c>
      <c r="G6">
        <v>16.5</v>
      </c>
    </row>
    <row r="9" spans="1:7" x14ac:dyDescent="0.3">
      <c r="A9" t="s">
        <v>184</v>
      </c>
      <c r="B9">
        <f>AVERAGE(B2:B6)</f>
        <v>24.96</v>
      </c>
      <c r="C9">
        <f>AVERAGE(C2:C6)</f>
        <v>26.540000000000003</v>
      </c>
      <c r="D9">
        <f>AVERAGE(D2:D6)</f>
        <v>25.3</v>
      </c>
    </row>
    <row r="12" spans="1:7" x14ac:dyDescent="0.3">
      <c r="B12" t="s">
        <v>163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D1EC-AEC8-40F2-B46B-836DB4C8F766}">
  <dimension ref="A1:G14"/>
  <sheetViews>
    <sheetView topLeftCell="A7" workbookViewId="0">
      <selection activeCell="G14" sqref="G14"/>
    </sheetView>
  </sheetViews>
  <sheetFormatPr defaultRowHeight="14.4" x14ac:dyDescent="0.3"/>
  <cols>
    <col min="1" max="1" width="14.21875" customWidth="1"/>
    <col min="2" max="2" width="32.109375" customWidth="1"/>
    <col min="3" max="3" width="24.77734375" customWidth="1"/>
    <col min="4" max="4" width="32.21875" customWidth="1"/>
    <col min="5" max="5" width="24.44140625" customWidth="1"/>
    <col min="7" max="7" width="27.10937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158</v>
      </c>
      <c r="B2">
        <v>30.5</v>
      </c>
      <c r="C2">
        <v>30.3</v>
      </c>
      <c r="D2">
        <v>31.2</v>
      </c>
      <c r="E2">
        <v>35.700000000000003</v>
      </c>
      <c r="F2">
        <v>1</v>
      </c>
      <c r="G2">
        <v>16.5</v>
      </c>
    </row>
    <row r="3" spans="1:7" x14ac:dyDescent="0.3">
      <c r="A3" t="s">
        <v>159</v>
      </c>
      <c r="B3">
        <v>25.5</v>
      </c>
      <c r="C3">
        <v>28.9</v>
      </c>
      <c r="D3">
        <v>26</v>
      </c>
      <c r="E3">
        <v>35.700000000000003</v>
      </c>
      <c r="F3">
        <v>2</v>
      </c>
      <c r="G3">
        <v>16.5</v>
      </c>
    </row>
    <row r="4" spans="1:7" x14ac:dyDescent="0.3">
      <c r="A4" t="s">
        <v>160</v>
      </c>
      <c r="B4">
        <v>24.3</v>
      </c>
      <c r="C4">
        <v>27.5</v>
      </c>
      <c r="D4">
        <v>25</v>
      </c>
      <c r="E4">
        <v>35.700000000000003</v>
      </c>
      <c r="F4">
        <v>3</v>
      </c>
      <c r="G4">
        <v>16.5</v>
      </c>
    </row>
    <row r="5" spans="1:7" x14ac:dyDescent="0.3">
      <c r="A5" t="s">
        <v>161</v>
      </c>
      <c r="B5">
        <v>22.25</v>
      </c>
      <c r="C5">
        <v>26.3</v>
      </c>
      <c r="D5">
        <v>24</v>
      </c>
      <c r="E5">
        <v>35.700000000000003</v>
      </c>
      <c r="F5">
        <v>4</v>
      </c>
      <c r="G5">
        <v>16.5</v>
      </c>
    </row>
    <row r="6" spans="1:7" x14ac:dyDescent="0.3">
      <c r="A6" t="s">
        <v>162</v>
      </c>
      <c r="B6">
        <v>21.8</v>
      </c>
      <c r="C6">
        <v>23.6</v>
      </c>
      <c r="D6">
        <v>23.3</v>
      </c>
      <c r="E6">
        <v>35.700000000000003</v>
      </c>
      <c r="F6">
        <v>5</v>
      </c>
      <c r="G6">
        <v>16.5</v>
      </c>
    </row>
    <row r="9" spans="1:7" x14ac:dyDescent="0.3">
      <c r="A9" t="s">
        <v>186</v>
      </c>
      <c r="B9">
        <f>AVERAGE(B2:B6)</f>
        <v>24.869999999999997</v>
      </c>
      <c r="C9">
        <f>AVERAGE(C2:C6)</f>
        <v>27.32</v>
      </c>
      <c r="D9">
        <f>AVERAGE(D2:D6)</f>
        <v>25.9</v>
      </c>
    </row>
    <row r="14" spans="1:7" x14ac:dyDescent="0.3">
      <c r="B14" t="s">
        <v>164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2F75-C97E-4A30-869B-77B8E572541C}">
  <dimension ref="A1:G14"/>
  <sheetViews>
    <sheetView topLeftCell="A13" workbookViewId="0">
      <selection activeCell="G15" sqref="G15"/>
    </sheetView>
  </sheetViews>
  <sheetFormatPr defaultRowHeight="14.4" x14ac:dyDescent="0.3"/>
  <cols>
    <col min="1" max="1" width="13.21875" customWidth="1"/>
    <col min="2" max="2" width="30.6640625" customWidth="1"/>
    <col min="3" max="3" width="24.6640625" customWidth="1"/>
    <col min="4" max="4" width="32.109375" customWidth="1"/>
    <col min="5" max="5" width="25.21875" customWidth="1"/>
    <col min="6" max="6" width="12" customWidth="1"/>
    <col min="7" max="7" width="27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165</v>
      </c>
      <c r="B2">
        <v>28.8</v>
      </c>
      <c r="C2">
        <v>30.5</v>
      </c>
      <c r="D2">
        <v>29.5</v>
      </c>
      <c r="E2">
        <v>37.5</v>
      </c>
      <c r="F2">
        <v>1</v>
      </c>
      <c r="G2">
        <v>16.5</v>
      </c>
    </row>
    <row r="3" spans="1:7" x14ac:dyDescent="0.3">
      <c r="A3" t="s">
        <v>166</v>
      </c>
      <c r="B3">
        <v>25.5</v>
      </c>
      <c r="C3">
        <v>28.5</v>
      </c>
      <c r="D3">
        <v>26.3</v>
      </c>
      <c r="E3">
        <v>37.5</v>
      </c>
      <c r="F3">
        <v>2</v>
      </c>
      <c r="G3">
        <v>16.5</v>
      </c>
    </row>
    <row r="4" spans="1:7" x14ac:dyDescent="0.3">
      <c r="A4" t="s">
        <v>167</v>
      </c>
      <c r="B4">
        <v>24.1</v>
      </c>
      <c r="C4">
        <v>28.1</v>
      </c>
      <c r="D4">
        <v>25</v>
      </c>
      <c r="E4">
        <v>37.5</v>
      </c>
      <c r="F4">
        <v>3</v>
      </c>
      <c r="G4">
        <v>16.5</v>
      </c>
    </row>
    <row r="5" spans="1:7" x14ac:dyDescent="0.3">
      <c r="A5" t="s">
        <v>168</v>
      </c>
      <c r="B5">
        <v>23.8</v>
      </c>
      <c r="C5">
        <v>27</v>
      </c>
      <c r="D5">
        <v>24.3</v>
      </c>
      <c r="E5">
        <v>37.5</v>
      </c>
      <c r="F5">
        <v>4</v>
      </c>
      <c r="G5">
        <v>17</v>
      </c>
    </row>
    <row r="6" spans="1:7" x14ac:dyDescent="0.3">
      <c r="A6" t="s">
        <v>169</v>
      </c>
      <c r="B6">
        <v>23.5</v>
      </c>
      <c r="C6">
        <v>26.1</v>
      </c>
      <c r="D6">
        <v>24</v>
      </c>
      <c r="E6">
        <v>37.5</v>
      </c>
      <c r="F6">
        <v>5</v>
      </c>
      <c r="G6">
        <v>17</v>
      </c>
    </row>
    <row r="8" spans="1:7" x14ac:dyDescent="0.3">
      <c r="A8" t="s">
        <v>184</v>
      </c>
      <c r="B8">
        <f>AVERAGE(B2:B6)</f>
        <v>25.14</v>
      </c>
      <c r="C8">
        <f>AVERAGE(C2:C6)</f>
        <v>28.04</v>
      </c>
      <c r="D8">
        <f>AVERAGE(D2:D6)</f>
        <v>25.82</v>
      </c>
    </row>
    <row r="14" spans="1:7" x14ac:dyDescent="0.3">
      <c r="B14" t="s">
        <v>170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2231-057E-4530-BFC5-73E76FFB5D9A}">
  <dimension ref="A1:G13"/>
  <sheetViews>
    <sheetView topLeftCell="A10" workbookViewId="0">
      <selection activeCell="D2" sqref="D2:D6"/>
    </sheetView>
  </sheetViews>
  <sheetFormatPr defaultRowHeight="14.4" x14ac:dyDescent="0.3"/>
  <cols>
    <col min="1" max="1" width="13" customWidth="1"/>
    <col min="2" max="2" width="31" customWidth="1"/>
    <col min="3" max="3" width="24.21875" customWidth="1"/>
    <col min="4" max="4" width="31.88671875" customWidth="1"/>
    <col min="5" max="5" width="24.21875" customWidth="1"/>
    <col min="6" max="6" width="11.77734375" customWidth="1"/>
    <col min="7" max="7" width="26.33203125" customWidth="1"/>
  </cols>
  <sheetData>
    <row r="1" spans="1:7" x14ac:dyDescent="0.3">
      <c r="A1" s="4" t="s">
        <v>0</v>
      </c>
      <c r="B1" s="11" t="s">
        <v>68</v>
      </c>
      <c r="C1" s="11" t="s">
        <v>70</v>
      </c>
      <c r="D1" s="11" t="s">
        <v>69</v>
      </c>
      <c r="E1" s="11" t="s">
        <v>126</v>
      </c>
      <c r="F1" s="11" t="s">
        <v>1</v>
      </c>
      <c r="G1" s="5" t="s">
        <v>2</v>
      </c>
    </row>
    <row r="2" spans="1:7" x14ac:dyDescent="0.3">
      <c r="A2" t="s">
        <v>165</v>
      </c>
      <c r="B2">
        <v>29.5</v>
      </c>
      <c r="C2">
        <v>30.8</v>
      </c>
      <c r="D2">
        <v>30.5</v>
      </c>
      <c r="E2">
        <v>37.5</v>
      </c>
      <c r="F2">
        <v>1</v>
      </c>
      <c r="G2">
        <v>16.5</v>
      </c>
    </row>
    <row r="3" spans="1:7" x14ac:dyDescent="0.3">
      <c r="A3" t="s">
        <v>166</v>
      </c>
      <c r="B3">
        <v>25.5</v>
      </c>
      <c r="C3">
        <v>28.9</v>
      </c>
      <c r="D3">
        <v>26.3</v>
      </c>
      <c r="E3">
        <v>37.5</v>
      </c>
      <c r="F3">
        <v>2</v>
      </c>
      <c r="G3">
        <v>16.5</v>
      </c>
    </row>
    <row r="4" spans="1:7" x14ac:dyDescent="0.3">
      <c r="A4" t="s">
        <v>167</v>
      </c>
      <c r="B4">
        <v>24.5</v>
      </c>
      <c r="C4">
        <v>28</v>
      </c>
      <c r="D4">
        <v>25.3</v>
      </c>
      <c r="E4">
        <v>37.5</v>
      </c>
      <c r="F4">
        <v>3</v>
      </c>
      <c r="G4">
        <v>16.5</v>
      </c>
    </row>
    <row r="5" spans="1:7" x14ac:dyDescent="0.3">
      <c r="A5" t="s">
        <v>168</v>
      </c>
      <c r="B5">
        <v>23.8</v>
      </c>
      <c r="C5">
        <v>27.5</v>
      </c>
      <c r="D5">
        <v>24.8</v>
      </c>
      <c r="E5">
        <v>37.5</v>
      </c>
      <c r="F5">
        <v>4</v>
      </c>
      <c r="G5">
        <v>17</v>
      </c>
    </row>
    <row r="6" spans="1:7" x14ac:dyDescent="0.3">
      <c r="A6" t="s">
        <v>169</v>
      </c>
      <c r="B6">
        <v>23</v>
      </c>
      <c r="C6">
        <v>26.5</v>
      </c>
      <c r="D6">
        <v>24</v>
      </c>
      <c r="E6">
        <v>37.5</v>
      </c>
      <c r="F6">
        <v>5</v>
      </c>
      <c r="G6">
        <v>17</v>
      </c>
    </row>
    <row r="9" spans="1:7" x14ac:dyDescent="0.3">
      <c r="A9" t="s">
        <v>184</v>
      </c>
      <c r="B9">
        <f>AVERAGE(B2:B6)</f>
        <v>25.259999999999998</v>
      </c>
      <c r="C9">
        <f>AVERAGE(C2:C6)</f>
        <v>28.339999999999996</v>
      </c>
      <c r="D9">
        <f>AVERAGE(D2:D6)</f>
        <v>26.179999999999996</v>
      </c>
    </row>
    <row r="13" spans="1:7" x14ac:dyDescent="0.3">
      <c r="B13" t="s">
        <v>171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5ADA-E471-4F23-912D-67F6ADC8008A}">
  <dimension ref="A1:I17"/>
  <sheetViews>
    <sheetView topLeftCell="A6" workbookViewId="0">
      <selection activeCell="A20" sqref="A20"/>
    </sheetView>
  </sheetViews>
  <sheetFormatPr defaultRowHeight="14.4" x14ac:dyDescent="0.3"/>
  <cols>
    <col min="1" max="1" width="55.6640625" customWidth="1"/>
    <col min="2" max="2" width="21.109375" customWidth="1"/>
    <col min="3" max="5" width="22.109375" customWidth="1"/>
    <col min="6" max="6" width="21.77734375" customWidth="1"/>
  </cols>
  <sheetData>
    <row r="1" spans="1:9" x14ac:dyDescent="0.3">
      <c r="A1" s="14" t="s">
        <v>85</v>
      </c>
      <c r="B1" s="15" t="s">
        <v>78</v>
      </c>
      <c r="C1" s="15" t="s">
        <v>77</v>
      </c>
      <c r="D1" s="15" t="s">
        <v>79</v>
      </c>
      <c r="E1" s="15" t="s">
        <v>80</v>
      </c>
      <c r="F1" s="16" t="s">
        <v>81</v>
      </c>
      <c r="G1" s="15"/>
      <c r="I1" s="15"/>
    </row>
    <row r="2" spans="1:9" x14ac:dyDescent="0.3">
      <c r="A2" t="s">
        <v>172</v>
      </c>
      <c r="B2">
        <f>'[1]Natutal_illumination_light skin'!B2</f>
        <v>30.1</v>
      </c>
      <c r="C2">
        <f>'[1]Natutal_illumination_light skin'!B3</f>
        <v>25.1</v>
      </c>
      <c r="D2">
        <f>'[1]Natutal_illumination_light skin'!B4</f>
        <v>23</v>
      </c>
      <c r="E2">
        <f>'[1]Natutal_illumination_light skin'!B5</f>
        <v>22</v>
      </c>
      <c r="F2">
        <f>'[1]Natutal_illumination_light skin'!B6</f>
        <v>21</v>
      </c>
    </row>
    <row r="3" spans="1:9" x14ac:dyDescent="0.3">
      <c r="A3" t="s">
        <v>173</v>
      </c>
      <c r="B3">
        <f>[1]Naural_Illumination_dark_skinwg!$B$2</f>
        <v>29</v>
      </c>
      <c r="C3">
        <f>[1]Naural_Illumination_dark_skinwg!$B$3</f>
        <v>24.5</v>
      </c>
      <c r="D3">
        <f>[1]Naural_Illumination_dark_skinwg!$B$4</f>
        <v>23.5</v>
      </c>
      <c r="E3">
        <f>[1]Naural_Illumination_dark_skinwg!$B$5</f>
        <v>22</v>
      </c>
      <c r="F3">
        <f>[1]Naural_Illumination_dark_skinwg!$B$6</f>
        <v>21.5</v>
      </c>
    </row>
    <row r="4" spans="1:9" x14ac:dyDescent="0.3">
      <c r="A4" t="s">
        <v>174</v>
      </c>
      <c r="B4">
        <f>[1]Naural_Illumination_darkskinwtg!$B$2</f>
        <v>29.7</v>
      </c>
      <c r="C4">
        <f>[1]Naural_Illumination_darkskinwtg!$B$3</f>
        <v>25.7</v>
      </c>
      <c r="D4">
        <f>[1]Naural_Illumination_darkskinwtg!$B$4</f>
        <v>23.8</v>
      </c>
      <c r="E4">
        <f>[1]Naural_Illumination_darkskinwtg!$B$5</f>
        <v>21.8</v>
      </c>
      <c r="F4">
        <f>[1]Naural_Illumination_darkskinwtg!$B$6</f>
        <v>21.5</v>
      </c>
    </row>
    <row r="5" spans="1:9" x14ac:dyDescent="0.3">
      <c r="A5" t="s">
        <v>175</v>
      </c>
      <c r="B5">
        <f>[1]Artificial_Illumination_Light_s!B2</f>
        <v>28.1</v>
      </c>
      <c r="C5">
        <f>[1]Artificial_Illumination_Light_s!B3</f>
        <v>24.5</v>
      </c>
      <c r="D5">
        <f>[1]Artificial_Illumination_Light_s!B4</f>
        <v>23.5</v>
      </c>
      <c r="E5">
        <f>[1]Artificial_Illumination_Light_s!B6</f>
        <v>22</v>
      </c>
      <c r="F5">
        <f>[1]Artificial_Illumination_Light_s!B6</f>
        <v>22</v>
      </c>
    </row>
    <row r="6" spans="1:9" x14ac:dyDescent="0.3">
      <c r="A6" t="s">
        <v>176</v>
      </c>
      <c r="B6">
        <f>[1]artificial_illuminatn_dksknwG!B2</f>
        <v>29</v>
      </c>
      <c r="C6">
        <f>[1]artificial_illuminatn_dksknwG!B3</f>
        <v>26.5</v>
      </c>
      <c r="D6">
        <f>[1]artificial_illuminatn_dksknwG!B4</f>
        <v>24</v>
      </c>
      <c r="E6">
        <f>[1]artificial_illuminatn_dksknwG!B5</f>
        <v>23</v>
      </c>
      <c r="F6">
        <f>[1]artificial_illuminatn_dksknwG!B6</f>
        <v>22.8</v>
      </c>
    </row>
    <row r="7" spans="1:9" x14ac:dyDescent="0.3">
      <c r="A7" t="s">
        <v>177</v>
      </c>
      <c r="B7">
        <f>[1]Artificial_illumination_Dark_sk!$B$2</f>
        <v>29.8</v>
      </c>
      <c r="C7">
        <f>[1]Artificial_illumination_Dark_sk!$B$3</f>
        <v>26.3</v>
      </c>
      <c r="D7">
        <f>[1]Artificial_illumination_Dark_sk!$B$4</f>
        <v>24.5</v>
      </c>
      <c r="E7">
        <f>[1]Artificial_illumination_Dark_sk!$B$5</f>
        <v>23</v>
      </c>
      <c r="F7">
        <f>[1]Artificial_illumination_Dark_sk!$B$6</f>
        <v>22.5</v>
      </c>
    </row>
    <row r="8" spans="1:9" x14ac:dyDescent="0.3">
      <c r="A8" t="s">
        <v>178</v>
      </c>
      <c r="B8">
        <f>'[1]Natutal_Illuminatn _ltsknwg'!B2</f>
        <v>30</v>
      </c>
      <c r="C8">
        <f>'[1]Natutal_Illuminatn _ltsknwg'!B3</f>
        <v>26.5</v>
      </c>
      <c r="D8">
        <f>'[1]Natutal_Illuminatn _ltsknwg'!B4</f>
        <v>24</v>
      </c>
      <c r="E8">
        <f>'[1]Natutal_Illuminatn _ltsknwg'!B5</f>
        <v>22.5</v>
      </c>
      <c r="F8">
        <f>'[1]Natutal_Illuminatn _ltsknwg'!B6</f>
        <v>21.8</v>
      </c>
    </row>
    <row r="9" spans="1:9" x14ac:dyDescent="0.3">
      <c r="A9" t="s">
        <v>179</v>
      </c>
      <c r="B9">
        <f>'[1]Natutal_Illuminatn _ltsknwhgl'!B2</f>
        <v>30.5</v>
      </c>
      <c r="C9">
        <f>'[1]Natutal_Illuminatn _ltsknwhgl'!B3</f>
        <v>25.5</v>
      </c>
      <c r="D9">
        <f>'[1]Natutal_Illuminatn _ltsknwhgl'!B4</f>
        <v>24.3</v>
      </c>
      <c r="E9">
        <f>'[1]Natutal_Illuminatn _ltsknwhgl'!B5</f>
        <v>22.25</v>
      </c>
      <c r="F9">
        <f>'[1]Natutal_Illuminatn _ltsknwhgl'!B6</f>
        <v>21.8</v>
      </c>
    </row>
    <row r="10" spans="1:9" x14ac:dyDescent="0.3">
      <c r="A10" t="s">
        <v>180</v>
      </c>
      <c r="B10">
        <f>[1]artificial_illumintn_litsknwg!B2</f>
        <v>28.8</v>
      </c>
      <c r="C10">
        <f>[1]artificial_illumintn_litsknwg!B3</f>
        <v>25.5</v>
      </c>
      <c r="D10">
        <f>[1]artificial_illumintn_litsknwg!B4</f>
        <v>24.1</v>
      </c>
      <c r="E10">
        <f>[1]artificial_illumintn_litsknwg!B5</f>
        <v>23.8</v>
      </c>
      <c r="F10">
        <f>[1]artificial_illumintn_litsknwg!B6</f>
        <v>23.5</v>
      </c>
    </row>
    <row r="11" spans="1:9" x14ac:dyDescent="0.3">
      <c r="A11" t="s">
        <v>181</v>
      </c>
      <c r="B11">
        <f>[1]artificial_illumintn_litsknwhgl!B2</f>
        <v>29.5</v>
      </c>
      <c r="C11">
        <f>[1]artificial_illumintn_litsknwhgl!B3</f>
        <v>25.5</v>
      </c>
      <c r="D11">
        <f>[1]artificial_illumintn_litsknwhgl!B4</f>
        <v>24.5</v>
      </c>
      <c r="E11">
        <f>[1]artificial_illumintn_litsknwhgl!B5</f>
        <v>23.8</v>
      </c>
      <c r="F11">
        <f>[1]artificial_illumintn_litsknwhgl!B6</f>
        <v>23</v>
      </c>
    </row>
    <row r="13" spans="1:9" x14ac:dyDescent="0.3">
      <c r="A13" s="1" t="s">
        <v>88</v>
      </c>
      <c r="B13">
        <f>AVERAGE(B2:B11)</f>
        <v>29.45</v>
      </c>
      <c r="C13">
        <f>AVERAGE(C2:C11)</f>
        <v>25.56</v>
      </c>
      <c r="D13">
        <f>AVERAGE(D2:D11)</f>
        <v>23.92</v>
      </c>
      <c r="E13">
        <f>AVERAGE(E2:E11)</f>
        <v>22.615000000000002</v>
      </c>
      <c r="F13">
        <f>AVERAGE(F2:F11)</f>
        <v>22.140000000000004</v>
      </c>
    </row>
    <row r="15" spans="1:9" x14ac:dyDescent="0.3">
      <c r="A15" s="1" t="s">
        <v>89</v>
      </c>
      <c r="B15">
        <f>_xlfn.VAR.S(B2:B11)</f>
        <v>0.51833333333333309</v>
      </c>
      <c r="C15">
        <f>_xlfn.VAR.S(C2:C11)</f>
        <v>0.53377777777777757</v>
      </c>
      <c r="D15">
        <f>_xlfn.VAR.S(D2:D11)</f>
        <v>0.23066666666666677</v>
      </c>
      <c r="E15">
        <f>_xlfn.VAR.S(E2:E11)</f>
        <v>0.56113888888888896</v>
      </c>
      <c r="F15">
        <f>_xlfn.VAR.S(F2:F11)</f>
        <v>0.61377777777777776</v>
      </c>
    </row>
    <row r="16" spans="1:9" x14ac:dyDescent="0.3">
      <c r="A16" s="1"/>
    </row>
    <row r="17" spans="1:6" x14ac:dyDescent="0.3">
      <c r="A17" s="1" t="s">
        <v>119</v>
      </c>
      <c r="B17">
        <f>SQRT(B15)</f>
        <v>0.71995370221517241</v>
      </c>
      <c r="C17">
        <f>SQRT(C15)</f>
        <v>0.73060097028253224</v>
      </c>
      <c r="D17">
        <f>SQRT(D15)</f>
        <v>0.48027769744874349</v>
      </c>
      <c r="E17">
        <f>SQRT(E15)</f>
        <v>0.74909204300198584</v>
      </c>
      <c r="F17">
        <f>SQRT(F15)</f>
        <v>0.78343970908920479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0962-625B-4CE6-8EA5-1D7BC94856BF}">
  <dimension ref="A1:F17"/>
  <sheetViews>
    <sheetView workbookViewId="0">
      <selection activeCell="A19" sqref="A19"/>
    </sheetView>
  </sheetViews>
  <sheetFormatPr defaultRowHeight="14.4" x14ac:dyDescent="0.3"/>
  <cols>
    <col min="1" max="1" width="56.33203125" customWidth="1"/>
    <col min="2" max="2" width="21.44140625" customWidth="1"/>
    <col min="3" max="3" width="21.88671875" customWidth="1"/>
    <col min="4" max="4" width="23.5546875" customWidth="1"/>
    <col min="5" max="5" width="22.109375" customWidth="1"/>
    <col min="6" max="6" width="21.5546875" customWidth="1"/>
  </cols>
  <sheetData>
    <row r="1" spans="1:6" x14ac:dyDescent="0.3">
      <c r="A1" s="14" t="s">
        <v>87</v>
      </c>
      <c r="B1" s="15" t="s">
        <v>78</v>
      </c>
      <c r="C1" s="15" t="s">
        <v>77</v>
      </c>
      <c r="D1" s="15" t="s">
        <v>79</v>
      </c>
      <c r="E1" s="15" t="s">
        <v>80</v>
      </c>
      <c r="F1" s="16" t="s">
        <v>81</v>
      </c>
    </row>
    <row r="2" spans="1:6" x14ac:dyDescent="0.3">
      <c r="A2" t="s">
        <v>172</v>
      </c>
      <c r="B2">
        <f>'[1]Natutal_illumination_light skin'!C2</f>
        <v>29.7</v>
      </c>
      <c r="C2">
        <f>'[1]Natutal_illumination_light skin'!C3</f>
        <v>29</v>
      </c>
      <c r="D2">
        <f>'[1]Natutal_illumination_light skin'!C4</f>
        <v>24</v>
      </c>
      <c r="E2">
        <f>'[1]Natutal_illumination_light skin'!C5</f>
        <v>24</v>
      </c>
      <c r="F2">
        <f>'[1]Natutal_illumination_light skin'!C6</f>
        <v>24</v>
      </c>
    </row>
    <row r="3" spans="1:6" x14ac:dyDescent="0.3">
      <c r="A3" t="s">
        <v>173</v>
      </c>
      <c r="B3">
        <f>[1]Naural_Illumination_dark_skinwg!$C$2</f>
        <v>29.3</v>
      </c>
      <c r="C3">
        <f>[1]Naural_Illumination_dark_skinwg!$C$3</f>
        <v>29</v>
      </c>
      <c r="D3">
        <f>[1]Naural_Illumination_dark_skinwg!$C$4</f>
        <v>27.8</v>
      </c>
      <c r="E3">
        <f>[1]Naural_Illumination_dark_skinwg!$C$5</f>
        <v>27.8</v>
      </c>
      <c r="F3">
        <f>[1]Naural_Illumination_dark_skinwg!$C$6</f>
        <v>25</v>
      </c>
    </row>
    <row r="4" spans="1:6" x14ac:dyDescent="0.3">
      <c r="A4" t="s">
        <v>174</v>
      </c>
      <c r="B4">
        <f>[1]Naural_Illumination_darkskinwtg!$C$2</f>
        <v>30</v>
      </c>
      <c r="C4">
        <f>[1]Naural_Illumination_darkskinwtg!$C$3</f>
        <v>29.8</v>
      </c>
      <c r="D4">
        <f>[1]Naural_Illumination_darkskinwtg!$C$4</f>
        <v>28.9</v>
      </c>
      <c r="E4">
        <f>[1]Naural_Illumination_darkskinwtg!$C$5</f>
        <v>27.3</v>
      </c>
      <c r="F4">
        <f>[1]Naural_Illumination_darkskinwtg!$C$6</f>
        <v>26.2</v>
      </c>
    </row>
    <row r="5" spans="1:6" x14ac:dyDescent="0.3">
      <c r="A5" t="s">
        <v>175</v>
      </c>
      <c r="B5">
        <f>[1]Artificial_Illumination_Light_s!C2</f>
        <v>30.4</v>
      </c>
      <c r="C5">
        <f>[1]Artificial_Illumination_Light_s!C3</f>
        <v>29.2</v>
      </c>
      <c r="D5">
        <f>[1]Artificial_Illumination_Light_s!C4</f>
        <v>27.5</v>
      </c>
      <c r="E5">
        <f>[1]Artificial_Illumination_Light_s!C5</f>
        <v>26.2</v>
      </c>
      <c r="F5">
        <f>[1]Artificial_Illumination_Light_s!C6</f>
        <v>24.2</v>
      </c>
    </row>
    <row r="6" spans="1:6" x14ac:dyDescent="0.3">
      <c r="A6" t="s">
        <v>176</v>
      </c>
      <c r="B6">
        <f>[1]artificial_illuminatn_dksknwG!C2</f>
        <v>29.7</v>
      </c>
      <c r="C6">
        <f>[1]artificial_illuminatn_dksknwG!C3</f>
        <v>28.7</v>
      </c>
      <c r="D6">
        <f>[1]artificial_illuminatn_dksknwG!C4</f>
        <v>27.9</v>
      </c>
      <c r="E6">
        <f>[1]artificial_illuminatn_dksknwG!C5</f>
        <v>26.3</v>
      </c>
      <c r="F6">
        <f>[1]artificial_illuminatn_dksknwG!C6</f>
        <v>26.1</v>
      </c>
    </row>
    <row r="7" spans="1:6" x14ac:dyDescent="0.3">
      <c r="A7" t="s">
        <v>177</v>
      </c>
      <c r="B7">
        <f>[1]Artificial_illumination_Dark_sk!$C$2</f>
        <v>29.9</v>
      </c>
      <c r="C7">
        <f>[1]Artificial_illumination_Dark_sk!$C$3</f>
        <v>29.2</v>
      </c>
      <c r="D7">
        <f>[1]Artificial_illumination_Dark_sk!$C$4</f>
        <v>28.4</v>
      </c>
      <c r="E7">
        <f>[1]Artificial_illumination_Dark_sk!$C$5</f>
        <v>27.5</v>
      </c>
      <c r="F7">
        <f>[1]Artificial_illumination_Dark_sk!$C$6</f>
        <v>26.4</v>
      </c>
    </row>
    <row r="8" spans="1:6" x14ac:dyDescent="0.3">
      <c r="A8" t="s">
        <v>178</v>
      </c>
      <c r="B8">
        <f>'[1]Natutal_Illuminatn _ltsknwg'!C2</f>
        <v>30.4</v>
      </c>
      <c r="C8">
        <f>'[1]Natutal_Illuminatn _ltsknwg'!C3</f>
        <v>28.6</v>
      </c>
      <c r="D8">
        <f>'[1]Natutal_Illuminatn _ltsknwg'!C4</f>
        <v>26.2</v>
      </c>
      <c r="E8">
        <f>'[1]Natutal_Illuminatn _ltsknwg'!C5</f>
        <v>24.6</v>
      </c>
      <c r="F8">
        <f>'[1]Natutal_Illuminatn _ltsknwg'!C6</f>
        <v>22.9</v>
      </c>
    </row>
    <row r="9" spans="1:6" x14ac:dyDescent="0.3">
      <c r="A9" t="s">
        <v>179</v>
      </c>
      <c r="B9">
        <f>'[1]Natutal_Illuminatn _ltsknwhgl'!C2</f>
        <v>30.3</v>
      </c>
      <c r="C9">
        <f>'[1]Natutal_Illuminatn _ltsknwhgl'!C3</f>
        <v>28.9</v>
      </c>
      <c r="D9">
        <f>'[1]Natutal_Illuminatn _ltsknwhgl'!C4</f>
        <v>27.5</v>
      </c>
      <c r="E9">
        <f>'[1]Natutal_Illuminatn _ltsknwhgl'!C5</f>
        <v>26.3</v>
      </c>
      <c r="F9">
        <f>'[1]Natutal_Illuminatn _ltsknwhgl'!C6</f>
        <v>23.6</v>
      </c>
    </row>
    <row r="10" spans="1:6" x14ac:dyDescent="0.3">
      <c r="A10" t="s">
        <v>180</v>
      </c>
      <c r="B10">
        <f>[1]artificial_illumintn_litsknwg!C2</f>
        <v>30.5</v>
      </c>
      <c r="C10">
        <f>[1]artificial_illumintn_litsknwg!C3</f>
        <v>28.5</v>
      </c>
      <c r="D10">
        <f>[1]artificial_illumintn_litsknwg!C4</f>
        <v>28.1</v>
      </c>
      <c r="E10">
        <f>[1]artificial_illumintn_litsknwg!C5</f>
        <v>27</v>
      </c>
      <c r="F10">
        <f>[1]artificial_illumintn_litsknwg!B6</f>
        <v>23.5</v>
      </c>
    </row>
    <row r="11" spans="1:6" x14ac:dyDescent="0.3">
      <c r="A11" t="s">
        <v>181</v>
      </c>
      <c r="B11">
        <f>[1]artificial_illumintn_litsknwhgl!C2</f>
        <v>30.8</v>
      </c>
      <c r="C11">
        <f>[1]artificial_illumintn_litsknwhgl!C3</f>
        <v>28.9</v>
      </c>
      <c r="D11">
        <f>[1]artificial_illumintn_litsknwhgl!C4</f>
        <v>28</v>
      </c>
      <c r="E11">
        <f>[1]artificial_illumintn_litsknwhgl!C5</f>
        <v>27.5</v>
      </c>
      <c r="F11">
        <f>[1]artificial_illumintn_litsknwhgl!C6</f>
        <v>26.5</v>
      </c>
    </row>
    <row r="13" spans="1:6" x14ac:dyDescent="0.3">
      <c r="A13" s="1" t="s">
        <v>88</v>
      </c>
      <c r="B13">
        <f>AVERAGE(B2:B11)</f>
        <v>30.100000000000005</v>
      </c>
      <c r="C13">
        <f>AVERAGE(C2:C11)</f>
        <v>28.979999999999997</v>
      </c>
      <c r="D13">
        <f>AVERAGE(D2:D11)</f>
        <v>27.429999999999996</v>
      </c>
      <c r="E13">
        <f>AVERAGE(E2:E11)</f>
        <v>26.45</v>
      </c>
      <c r="F13">
        <f>AVERAGE(F2:F11)</f>
        <v>24.84</v>
      </c>
    </row>
    <row r="15" spans="1:6" x14ac:dyDescent="0.3">
      <c r="A15" s="1" t="s">
        <v>89</v>
      </c>
      <c r="B15">
        <f>_xlfn.VAR.S(B2:B11)</f>
        <v>0.20888888888888887</v>
      </c>
      <c r="C15">
        <f>_xlfn.VAR.S(C2:C11)</f>
        <v>0.13733333333333339</v>
      </c>
      <c r="D15">
        <f>_xlfn.VAR.S(D2:D11)</f>
        <v>1.9467777777777766</v>
      </c>
      <c r="E15">
        <f>_xlfn.VAR.S(E2:E11)</f>
        <v>1.6205555555555551</v>
      </c>
      <c r="F15">
        <f>_xlfn.VAR.S(F2:F11)</f>
        <v>1.8737777777777778</v>
      </c>
    </row>
    <row r="16" spans="1:6" x14ac:dyDescent="0.3">
      <c r="A16" s="1"/>
    </row>
    <row r="17" spans="1:6" x14ac:dyDescent="0.3">
      <c r="A17" s="1" t="s">
        <v>119</v>
      </c>
      <c r="B17">
        <f>SQRT(B15)</f>
        <v>0.45704364002673625</v>
      </c>
      <c r="C17">
        <f>SQRT(C15)</f>
        <v>0.37058512292499463</v>
      </c>
      <c r="D17">
        <f>SQRT(D15)</f>
        <v>1.3952697867358042</v>
      </c>
      <c r="E17">
        <f>SQRT(E15)</f>
        <v>1.2730104302618872</v>
      </c>
      <c r="F17">
        <f>SQRT(F15)</f>
        <v>1.3688600285557972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935-60E8-4D36-8162-A16BADCD628F}">
  <dimension ref="A1:F17"/>
  <sheetViews>
    <sheetView workbookViewId="0">
      <selection activeCell="A22" sqref="A22"/>
    </sheetView>
  </sheetViews>
  <sheetFormatPr defaultRowHeight="14.4" x14ac:dyDescent="0.3"/>
  <cols>
    <col min="1" max="1" width="56.21875" customWidth="1"/>
    <col min="2" max="2" width="21.33203125" customWidth="1"/>
    <col min="3" max="3" width="22.109375" customWidth="1"/>
    <col min="4" max="4" width="22" customWidth="1"/>
    <col min="5" max="5" width="20.6640625" customWidth="1"/>
    <col min="6" max="6" width="22" customWidth="1"/>
  </cols>
  <sheetData>
    <row r="1" spans="1:6" x14ac:dyDescent="0.3">
      <c r="A1" s="14" t="s">
        <v>91</v>
      </c>
      <c r="B1" s="15" t="s">
        <v>78</v>
      </c>
      <c r="C1" s="15" t="s">
        <v>77</v>
      </c>
      <c r="D1" s="15" t="s">
        <v>79</v>
      </c>
      <c r="E1" s="15" t="s">
        <v>80</v>
      </c>
      <c r="F1" s="16" t="s">
        <v>81</v>
      </c>
    </row>
    <row r="2" spans="1:6" x14ac:dyDescent="0.3">
      <c r="A2" t="s">
        <v>172</v>
      </c>
      <c r="B2">
        <f>'[1]Natutal_illumination_light skin'!D2</f>
        <v>30</v>
      </c>
      <c r="C2">
        <f>'[1]Natutal_illumination_light skin'!D3</f>
        <v>24.9</v>
      </c>
      <c r="D2">
        <f>'[1]Natutal_illumination_light skin'!D4</f>
        <v>23</v>
      </c>
      <c r="E2">
        <f>'[1]Natutal_illumination_light skin'!D5</f>
        <v>21</v>
      </c>
      <c r="F2">
        <f>'[1]Natutal_illumination_light skin'!D6</f>
        <v>21</v>
      </c>
    </row>
    <row r="3" spans="1:6" x14ac:dyDescent="0.3">
      <c r="A3" t="s">
        <v>173</v>
      </c>
      <c r="B3">
        <f>[1]Naural_Illumination_dark_skinwg!$D$2</f>
        <v>29.5</v>
      </c>
      <c r="C3">
        <f>[1]Naural_Illumination_dark_skinwg!$D$3</f>
        <v>25.75</v>
      </c>
      <c r="D3">
        <f>[1]Naural_Illumination_dark_skinwg!$D$4</f>
        <v>24</v>
      </c>
      <c r="E3">
        <f>[1]Naural_Illumination_dark_skinwg!$D$5</f>
        <v>24</v>
      </c>
      <c r="F3">
        <f>[1]Naural_Illumination_dark_skinwg!$D$6</f>
        <v>22.5</v>
      </c>
    </row>
    <row r="4" spans="1:6" x14ac:dyDescent="0.3">
      <c r="A4" t="s">
        <v>174</v>
      </c>
      <c r="B4">
        <f>[1]Naural_Illumination_darkskinwtg!$D$2</f>
        <v>31.5</v>
      </c>
      <c r="C4">
        <f>[1]Naural_Illumination_darkskinwtg!$D$3</f>
        <v>27</v>
      </c>
      <c r="D4">
        <f>[1]Naural_Illumination_darkskinwtg!$D$4</f>
        <v>24.3</v>
      </c>
      <c r="E4">
        <f>[1]Naural_Illumination_darkskinwtg!$D$5</f>
        <v>22.5</v>
      </c>
      <c r="F4">
        <f>[1]Naural_Illumination_darkskinwtg!$D$6</f>
        <v>22</v>
      </c>
    </row>
    <row r="5" spans="1:6" x14ac:dyDescent="0.3">
      <c r="A5" t="s">
        <v>175</v>
      </c>
      <c r="B5">
        <f>[1]Artificial_Illumination_Light_s!D2</f>
        <v>29</v>
      </c>
      <c r="C5">
        <f>[1]Artificial_Illumination_Light_s!D3</f>
        <v>25.6</v>
      </c>
      <c r="D5">
        <f>[1]Artificial_Illumination_Light_s!D4</f>
        <v>24</v>
      </c>
      <c r="E5">
        <f>[1]Artificial_Illumination_Light_s!D5</f>
        <v>22.5</v>
      </c>
      <c r="F5">
        <f>[1]Artificial_Illumination_Light_s!D6</f>
        <v>22</v>
      </c>
    </row>
    <row r="6" spans="1:6" x14ac:dyDescent="0.3">
      <c r="A6" t="s">
        <v>176</v>
      </c>
      <c r="B6">
        <f>[1]artificial_illuminatn_dksknwG!D2</f>
        <v>30</v>
      </c>
      <c r="C6">
        <f>[1]artificial_illuminatn_dksknwG!D3</f>
        <v>26.8</v>
      </c>
      <c r="D6">
        <f>[1]artificial_illuminatn_dksknwG!D4</f>
        <v>24.5</v>
      </c>
      <c r="E6">
        <f>[1]artificial_illuminatn_dksknwG!D5</f>
        <v>24.4</v>
      </c>
      <c r="F6">
        <f>[1]artificial_illuminatn_dksknwG!D6</f>
        <v>23</v>
      </c>
    </row>
    <row r="7" spans="1:6" x14ac:dyDescent="0.3">
      <c r="A7" t="s">
        <v>177</v>
      </c>
      <c r="B7">
        <f>[1]Artificial_illumination_Dark_sk!$D$2</f>
        <v>31</v>
      </c>
      <c r="C7">
        <f>[1]Artificial_illumination_Dark_sk!$D$3</f>
        <v>27.5</v>
      </c>
      <c r="D7">
        <f>[1]Artificial_illumination_Dark_sk!$D$4</f>
        <v>25</v>
      </c>
      <c r="E7">
        <f>[1]Artificial_illumination_Dark_sk!$D$5</f>
        <v>24.5</v>
      </c>
      <c r="F7">
        <f>[1]Artificial_illumination_Dark_sk!$D$6</f>
        <v>23.8</v>
      </c>
    </row>
    <row r="8" spans="1:6" x14ac:dyDescent="0.3">
      <c r="A8" t="s">
        <v>178</v>
      </c>
      <c r="B8">
        <f>'[1]Natutal_Illuminatn _ltsknwg'!D2</f>
        <v>30.5</v>
      </c>
      <c r="C8">
        <f>'[1]Natutal_Illuminatn _ltsknwg'!D3</f>
        <v>26</v>
      </c>
      <c r="D8">
        <f>'[1]Natutal_Illuminatn _ltsknwg'!D4</f>
        <v>24.5</v>
      </c>
      <c r="E8">
        <f>'[1]Natutal_Illuminatn _ltsknwg'!D5</f>
        <v>23</v>
      </c>
      <c r="F8">
        <f>'[1]Natutal_Illuminatn _ltsknwg'!D6</f>
        <v>22.5</v>
      </c>
    </row>
    <row r="9" spans="1:6" x14ac:dyDescent="0.3">
      <c r="A9" t="s">
        <v>179</v>
      </c>
      <c r="B9">
        <f>'[1]Natutal_Illuminatn _ltsknwhgl'!D2</f>
        <v>31.2</v>
      </c>
      <c r="C9">
        <f>'[1]Natutal_Illuminatn _ltsknwhgl'!D3</f>
        <v>26</v>
      </c>
      <c r="D9">
        <f>'[1]Natutal_Illuminatn _ltsknwhgl'!D4</f>
        <v>25</v>
      </c>
      <c r="E9">
        <f>'[1]Natutal_Illuminatn _ltsknwhgl'!D5</f>
        <v>24</v>
      </c>
      <c r="F9">
        <f>'[1]Natutal_Illuminatn _ltsknwhgl'!D6</f>
        <v>23.3</v>
      </c>
    </row>
    <row r="10" spans="1:6" x14ac:dyDescent="0.3">
      <c r="A10" t="s">
        <v>180</v>
      </c>
      <c r="B10">
        <f>[1]artificial_illumintn_litsknwg!D2</f>
        <v>29.5</v>
      </c>
      <c r="C10">
        <f>[1]artificial_illumintn_litsknwg!D3</f>
        <v>26.3</v>
      </c>
      <c r="D10">
        <f>[1]artificial_illumintn_litsknwg!D4</f>
        <v>25</v>
      </c>
      <c r="E10">
        <f>[1]artificial_illumintn_litsknwg!D5</f>
        <v>24.3</v>
      </c>
      <c r="F10">
        <f>[1]artificial_illumintn_litsknwg!D6</f>
        <v>24</v>
      </c>
    </row>
    <row r="11" spans="1:6" x14ac:dyDescent="0.3">
      <c r="A11" t="s">
        <v>181</v>
      </c>
      <c r="B11">
        <f>[1]artificial_illumintn_litsknwhgl!D2</f>
        <v>30.5</v>
      </c>
      <c r="C11">
        <f>[1]artificial_illumintn_litsknwhgl!D3</f>
        <v>26.3</v>
      </c>
      <c r="D11">
        <f>[1]artificial_illumintn_litsknwhgl!D4</f>
        <v>25.3</v>
      </c>
      <c r="E11">
        <f>[1]artificial_illumintn_litsknwhgl!D5</f>
        <v>24.8</v>
      </c>
      <c r="F11">
        <f>[1]artificial_illumintn_litsknwhgl!D6</f>
        <v>24</v>
      </c>
    </row>
    <row r="13" spans="1:6" x14ac:dyDescent="0.3">
      <c r="A13" s="1" t="s">
        <v>88</v>
      </c>
      <c r="B13">
        <f>AVERAGE(B2:B11)</f>
        <v>30.27</v>
      </c>
      <c r="C13">
        <f>AVERAGE(C2:C11)</f>
        <v>26.215000000000003</v>
      </c>
      <c r="D13">
        <f>AVERAGE(D2:D11)</f>
        <v>24.46</v>
      </c>
      <c r="E13">
        <f>AVERAGE(E2:E11)</f>
        <v>23.500000000000004</v>
      </c>
      <c r="F13">
        <f>AVERAGE(F2:F11)</f>
        <v>22.810000000000002</v>
      </c>
    </row>
    <row r="15" spans="1:6" x14ac:dyDescent="0.3">
      <c r="A15" s="1" t="s">
        <v>104</v>
      </c>
      <c r="B15">
        <f>_xlfn.VAR.S(B2:B11)</f>
        <v>0.66233333333333322</v>
      </c>
      <c r="C15">
        <f>_xlfn.VAR.S(C2:C11)</f>
        <v>0.56002777777777801</v>
      </c>
      <c r="D15">
        <f>VAR(D2:D11)</f>
        <v>0.46266666666666662</v>
      </c>
      <c r="E15">
        <f>_xlfn.VAR.S(E2:E11)</f>
        <v>1.46</v>
      </c>
      <c r="F15">
        <f>_xlfn.VAR.S(F2:F11)</f>
        <v>0.98544444444444479</v>
      </c>
    </row>
    <row r="16" spans="1:6" x14ac:dyDescent="0.3">
      <c r="A16" s="1"/>
    </row>
    <row r="17" spans="1:6" x14ac:dyDescent="0.3">
      <c r="A17" s="1" t="s">
        <v>119</v>
      </c>
      <c r="B17">
        <f>SQRT(B15)</f>
        <v>0.81383864084555069</v>
      </c>
      <c r="C17">
        <f>SQRT(C15)</f>
        <v>0.74835003693310398</v>
      </c>
      <c r="D17">
        <f>SQRT(D15)</f>
        <v>0.68019605016985107</v>
      </c>
      <c r="E17">
        <f>SQRT(E15)</f>
        <v>1.2083045973594573</v>
      </c>
      <c r="F17">
        <f>SQRT(F15)</f>
        <v>0.99269554468852372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E48F-4D6B-4309-96A2-E67F26E72BDF}">
  <dimension ref="A1:D6"/>
  <sheetViews>
    <sheetView workbookViewId="0">
      <selection sqref="A1:D1"/>
    </sheetView>
  </sheetViews>
  <sheetFormatPr defaultRowHeight="14.4" x14ac:dyDescent="0.3"/>
  <cols>
    <col min="1" max="1" width="12.109375" customWidth="1"/>
    <col min="2" max="2" width="19.88671875" customWidth="1"/>
    <col min="3" max="3" width="18" customWidth="1"/>
    <col min="4" max="4" width="20.33203125" customWidth="1"/>
  </cols>
  <sheetData>
    <row r="1" spans="1:4" x14ac:dyDescent="0.3">
      <c r="A1" s="4" t="s">
        <v>92</v>
      </c>
      <c r="B1" s="11" t="s">
        <v>93</v>
      </c>
      <c r="C1" s="11" t="s">
        <v>99</v>
      </c>
      <c r="D1" s="5" t="s">
        <v>100</v>
      </c>
    </row>
    <row r="2" spans="1:4" x14ac:dyDescent="0.3">
      <c r="A2" t="s">
        <v>94</v>
      </c>
      <c r="B2">
        <f>[1]readingdistancePimoroniMLX9064!B13</f>
        <v>29.45</v>
      </c>
      <c r="C2">
        <f>'[1]readingdistanceRSPROT-10'!B13</f>
        <v>30.100000000000005</v>
      </c>
      <c r="D2">
        <f>[1]readingdistnceRobotshopMLX90640!B13</f>
        <v>30.27</v>
      </c>
    </row>
    <row r="3" spans="1:4" x14ac:dyDescent="0.3">
      <c r="A3" t="s">
        <v>95</v>
      </c>
      <c r="B3">
        <f>[1]readingdistancePimoroniMLX9064!C13</f>
        <v>25.56</v>
      </c>
      <c r="C3">
        <f>'[1]readingdistanceRSPROT-10'!C13</f>
        <v>28.979999999999997</v>
      </c>
      <c r="D3">
        <f>[1]readingdistnceRobotshopMLX90640!C13</f>
        <v>26.215000000000003</v>
      </c>
    </row>
    <row r="4" spans="1:4" x14ac:dyDescent="0.3">
      <c r="A4" t="s">
        <v>96</v>
      </c>
      <c r="B4">
        <f>[1]readingdistancePimoroniMLX9064!D13</f>
        <v>23.92</v>
      </c>
      <c r="C4">
        <f>'[1]readingdistanceRSPROT-10'!D13</f>
        <v>27.429999999999996</v>
      </c>
      <c r="D4">
        <f>[1]readingdistnceRobotshopMLX90640!D13</f>
        <v>24.46</v>
      </c>
    </row>
    <row r="5" spans="1:4" x14ac:dyDescent="0.3">
      <c r="A5" t="s">
        <v>97</v>
      </c>
      <c r="B5">
        <f>[1]readingdistancePimoroniMLX9064!E13</f>
        <v>22.615000000000002</v>
      </c>
      <c r="C5">
        <f>'[1]readingdistanceRSPROT-10'!E13</f>
        <v>26.45</v>
      </c>
      <c r="D5">
        <f>[1]readingdistnceRobotshopMLX90640!E13</f>
        <v>23.500000000000004</v>
      </c>
    </row>
    <row r="6" spans="1:4" x14ac:dyDescent="0.3">
      <c r="A6" t="s">
        <v>98</v>
      </c>
      <c r="B6">
        <f>[1]readingdistancePimoroniMLX9064!F13</f>
        <v>22.140000000000004</v>
      </c>
      <c r="C6">
        <f>'[1]readingdistanceRSPROT-10'!F13</f>
        <v>24.84</v>
      </c>
      <c r="D6">
        <f>[1]readingdistnceRobotshopMLX90640!F13</f>
        <v>22.810000000000002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3813-C5AE-419B-AF97-51976C60C135}">
  <dimension ref="A1:D6"/>
  <sheetViews>
    <sheetView workbookViewId="0">
      <selection activeCell="A16" sqref="A16"/>
    </sheetView>
  </sheetViews>
  <sheetFormatPr defaultRowHeight="14.4" x14ac:dyDescent="0.3"/>
  <cols>
    <col min="2" max="2" width="19.5546875" customWidth="1"/>
    <col min="3" max="3" width="14.77734375" customWidth="1"/>
    <col min="4" max="4" width="21.21875" customWidth="1"/>
  </cols>
  <sheetData>
    <row r="1" spans="1:4" x14ac:dyDescent="0.3">
      <c r="A1" s="4" t="s">
        <v>92</v>
      </c>
      <c r="B1" s="11" t="s">
        <v>93</v>
      </c>
      <c r="C1" s="11" t="s">
        <v>99</v>
      </c>
      <c r="D1" s="5" t="s">
        <v>100</v>
      </c>
    </row>
    <row r="2" spans="1:4" x14ac:dyDescent="0.3">
      <c r="A2" t="s">
        <v>94</v>
      </c>
      <c r="B2">
        <f>[1]readingdistancePimoroniMLX9064!B17</f>
        <v>0.71995370221517241</v>
      </c>
      <c r="C2">
        <f>'[1]readingdistanceRSPROT-10'!B17</f>
        <v>0.45704364002673625</v>
      </c>
      <c r="D2">
        <f>[1]readingdistnceRobotshopMLX90640!B17</f>
        <v>0.81383864084555069</v>
      </c>
    </row>
    <row r="3" spans="1:4" x14ac:dyDescent="0.3">
      <c r="A3" t="s">
        <v>95</v>
      </c>
      <c r="B3">
        <f>[1]readingdistancePimoroniMLX9064!C17</f>
        <v>0.73060097028253224</v>
      </c>
      <c r="C3">
        <f>'[1]readingdistanceRSPROT-10'!C17</f>
        <v>0.37058512292499463</v>
      </c>
      <c r="D3">
        <f>[1]readingdistnceRobotshopMLX90640!C17</f>
        <v>0.74835003693310398</v>
      </c>
    </row>
    <row r="4" spans="1:4" x14ac:dyDescent="0.3">
      <c r="A4" t="s">
        <v>96</v>
      </c>
      <c r="B4">
        <f>[1]readingdistancePimoroniMLX9064!D17</f>
        <v>0.48027769744874349</v>
      </c>
      <c r="C4">
        <f>'[1]readingdistanceRSPROT-10'!D17</f>
        <v>1.3952697867358042</v>
      </c>
      <c r="D4">
        <f>[1]readingdistnceRobotshopMLX90640!D17</f>
        <v>0.68019605016985107</v>
      </c>
    </row>
    <row r="5" spans="1:4" x14ac:dyDescent="0.3">
      <c r="A5" t="s">
        <v>97</v>
      </c>
      <c r="B5">
        <f>[1]readingdistancePimoroniMLX9064!E17</f>
        <v>0.74909204300198584</v>
      </c>
      <c r="C5">
        <f>'[1]readingdistanceRSPROT-10'!E17</f>
        <v>1.2730104302618872</v>
      </c>
      <c r="D5">
        <f>[1]readingdistnceRobotshopMLX90640!E17</f>
        <v>1.2083045973594573</v>
      </c>
    </row>
    <row r="6" spans="1:4" x14ac:dyDescent="0.3">
      <c r="A6" t="s">
        <v>98</v>
      </c>
      <c r="B6">
        <f>[1]readingdistancePimoroniMLX9064!F17</f>
        <v>0.78343970908920479</v>
      </c>
      <c r="C6">
        <f>'[1]readingdistanceRSPROT-10'!F17</f>
        <v>1.3688600285557972</v>
      </c>
      <c r="D6">
        <f>[1]readingdistnceRobotshopMLX90640!F17</f>
        <v>0.99269554468852372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4D4-23FD-46D8-99D9-40D39DDA1803}">
  <dimension ref="A1:J7"/>
  <sheetViews>
    <sheetView topLeftCell="A6" workbookViewId="0">
      <selection activeCell="D3" sqref="D3"/>
    </sheetView>
  </sheetViews>
  <sheetFormatPr defaultRowHeight="14.4" x14ac:dyDescent="0.3"/>
  <cols>
    <col min="2" max="2" width="18.21875" customWidth="1"/>
    <col min="3" max="3" width="11.109375" customWidth="1"/>
    <col min="4" max="4" width="18.21875" customWidth="1"/>
    <col min="8" max="8" width="18.21875" customWidth="1"/>
    <col min="9" max="9" width="16.88671875" customWidth="1"/>
    <col min="10" max="10" width="18.88671875" customWidth="1"/>
  </cols>
  <sheetData>
    <row r="1" spans="1:10" x14ac:dyDescent="0.3">
      <c r="B1" t="s">
        <v>182</v>
      </c>
      <c r="H1" t="s">
        <v>183</v>
      </c>
    </row>
    <row r="2" spans="1:10" x14ac:dyDescent="0.3">
      <c r="A2" t="str">
        <f>[1]Avarageateachdistance!A1</f>
        <v>Distance</v>
      </c>
      <c r="B2" t="str">
        <f>[1]Avarageateachdistance!B1</f>
        <v>Pimoroni MLX90640</v>
      </c>
      <c r="C2" t="str">
        <f>[1]Avarageateachdistance!C1</f>
        <v xml:space="preserve"> RS PRO T-10</v>
      </c>
      <c r="D2" t="str">
        <f>[1]Avarageateachdistance!D1</f>
        <v>Robotshop MLX90640</v>
      </c>
      <c r="G2" t="str">
        <f>[1]SDateachdiatnce!A1</f>
        <v>Distance</v>
      </c>
      <c r="H2" t="str">
        <f>[1]SDateachdiatnce!B1</f>
        <v>Pimoroni MLX90640</v>
      </c>
      <c r="I2" t="str">
        <f>[1]SDateachdiatnce!C1</f>
        <v xml:space="preserve"> RS PRO T-10</v>
      </c>
      <c r="J2" t="str">
        <f>[1]SDateachdiatnce!D1</f>
        <v>Robotshop MLX90640</v>
      </c>
    </row>
    <row r="3" spans="1:10" x14ac:dyDescent="0.3">
      <c r="A3" t="str">
        <f>[1]Avarageateachdistance!A2</f>
        <v>1 Metre</v>
      </c>
      <c r="B3">
        <f>[1]Avarageateachdistance!B2</f>
        <v>29.45</v>
      </c>
      <c r="C3">
        <f>[1]Avarageateachdistance!C2</f>
        <v>30.100000000000005</v>
      </c>
      <c r="D3">
        <f>[1]Avarageateachdistance!D2</f>
        <v>30.27</v>
      </c>
      <c r="G3" t="str">
        <f>[1]SDateachdiatnce!A2</f>
        <v>1 Metre</v>
      </c>
      <c r="H3">
        <f>[1]SDateachdiatnce!B2</f>
        <v>0.71995370221517241</v>
      </c>
      <c r="I3">
        <f>[1]SDateachdiatnce!C2</f>
        <v>0.45704364002673625</v>
      </c>
      <c r="J3">
        <f>[1]SDateachdiatnce!D2</f>
        <v>0.81383864084555069</v>
      </c>
    </row>
    <row r="4" spans="1:10" x14ac:dyDescent="0.3">
      <c r="A4" t="str">
        <f>[1]Avarageateachdistance!A3</f>
        <v>2 Metres</v>
      </c>
      <c r="B4">
        <f>[1]Avarageateachdistance!B3</f>
        <v>25.56</v>
      </c>
      <c r="C4">
        <f>[1]Avarageateachdistance!C3</f>
        <v>28.979999999999997</v>
      </c>
      <c r="D4">
        <f>[1]Avarageateachdistance!D3</f>
        <v>26.215000000000003</v>
      </c>
      <c r="G4" t="str">
        <f>[1]SDateachdiatnce!A3</f>
        <v>2 Metres</v>
      </c>
      <c r="H4">
        <f>[1]SDateachdiatnce!B3</f>
        <v>0.73060097028253224</v>
      </c>
      <c r="I4">
        <f>[1]SDateachdiatnce!C3</f>
        <v>0.37058512292499463</v>
      </c>
      <c r="J4">
        <f>[1]SDateachdiatnce!D3</f>
        <v>0.74835003693310398</v>
      </c>
    </row>
    <row r="5" spans="1:10" x14ac:dyDescent="0.3">
      <c r="A5" t="str">
        <f>[1]Avarageateachdistance!A4</f>
        <v>3 Metres</v>
      </c>
      <c r="B5">
        <f>[1]Avarageateachdistance!B4</f>
        <v>23.92</v>
      </c>
      <c r="C5">
        <f>[1]Avarageateachdistance!C4</f>
        <v>27.429999999999996</v>
      </c>
      <c r="D5">
        <f>[1]Avarageateachdistance!D4</f>
        <v>24.46</v>
      </c>
      <c r="G5" t="str">
        <f>[1]SDateachdiatnce!A4</f>
        <v>3 Metres</v>
      </c>
      <c r="H5">
        <f>[1]SDateachdiatnce!B4</f>
        <v>0.48027769744874349</v>
      </c>
      <c r="I5">
        <f>[1]SDateachdiatnce!C4</f>
        <v>1.3952697867358042</v>
      </c>
      <c r="J5">
        <f>[1]SDateachdiatnce!D4</f>
        <v>0.68019605016985107</v>
      </c>
    </row>
    <row r="6" spans="1:10" x14ac:dyDescent="0.3">
      <c r="A6" t="str">
        <f>[1]Avarageateachdistance!A5</f>
        <v>4 Metres</v>
      </c>
      <c r="B6">
        <f>[1]Avarageateachdistance!B5</f>
        <v>22.615000000000002</v>
      </c>
      <c r="C6">
        <f>[1]Avarageateachdistance!C5</f>
        <v>26.45</v>
      </c>
      <c r="D6">
        <f>[1]Avarageateachdistance!D5</f>
        <v>23.500000000000004</v>
      </c>
      <c r="G6" t="str">
        <f>[1]SDateachdiatnce!A5</f>
        <v>4 Metres</v>
      </c>
      <c r="H6">
        <f>[1]SDateachdiatnce!B5</f>
        <v>0.74909204300198584</v>
      </c>
      <c r="I6">
        <f>[1]SDateachdiatnce!C5</f>
        <v>1.2730104302618872</v>
      </c>
      <c r="J6">
        <f>[1]SDateachdiatnce!D5</f>
        <v>1.2083045973594573</v>
      </c>
    </row>
    <row r="7" spans="1:10" x14ac:dyDescent="0.3">
      <c r="A7" t="str">
        <f>[1]Avarageateachdistance!A6</f>
        <v>5 Metres</v>
      </c>
      <c r="B7">
        <f>[1]Avarageateachdistance!B6</f>
        <v>22.140000000000004</v>
      </c>
      <c r="C7">
        <f>[1]Avarageateachdistance!C6</f>
        <v>24.84</v>
      </c>
      <c r="D7">
        <f>[1]Avarageateachdistance!D6</f>
        <v>22.810000000000002</v>
      </c>
      <c r="G7" t="str">
        <f>[1]SDateachdiatnce!A6</f>
        <v>5 Metres</v>
      </c>
      <c r="H7">
        <f>[1]SDateachdiatnce!B6</f>
        <v>0.78343970908920479</v>
      </c>
      <c r="I7">
        <f>[1]SDateachdiatnce!C6</f>
        <v>1.3688600285557972</v>
      </c>
      <c r="J7">
        <f>[1]SDateachdiatnce!D6</f>
        <v>0.99269554468852372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19D2-3B80-4B70-A5D0-36243F94B3CB}">
  <dimension ref="A1:M29"/>
  <sheetViews>
    <sheetView workbookViewId="0">
      <selection activeCell="A17" sqref="A17:F18"/>
    </sheetView>
  </sheetViews>
  <sheetFormatPr defaultRowHeight="14.4" x14ac:dyDescent="0.3"/>
  <cols>
    <col min="1" max="1" width="106.33203125" customWidth="1"/>
    <col min="2" max="2" width="12.33203125" customWidth="1"/>
    <col min="3" max="3" width="14" customWidth="1"/>
    <col min="4" max="4" width="10.88671875" customWidth="1"/>
    <col min="5" max="6" width="9.21875" customWidth="1"/>
  </cols>
  <sheetData>
    <row r="1" spans="1:6" x14ac:dyDescent="0.3">
      <c r="A1" s="11" t="s">
        <v>212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s="17" t="s">
        <v>191</v>
      </c>
      <c r="B2">
        <f>Exp1_bodylightskinemmisivity_6!B2</f>
        <v>33.75</v>
      </c>
      <c r="C2">
        <f>Exp1_bodylightskinemmisivity_6!B3</f>
        <v>31.5</v>
      </c>
      <c r="D2">
        <f>Exp1_bodylightskinemmisivity_6!B4</f>
        <v>30.2</v>
      </c>
      <c r="E2">
        <f>Exp1_bodylightskinemmisivity_6!B5</f>
        <v>29.5</v>
      </c>
      <c r="F2">
        <f>Exp1_bodylightskinemmisivity_6!B6</f>
        <v>28.5</v>
      </c>
    </row>
    <row r="3" spans="1:6" x14ac:dyDescent="0.3">
      <c r="A3" s="17" t="s">
        <v>190</v>
      </c>
      <c r="B3">
        <f>Exp1_bodylightskinemmisivity1_7!B2</f>
        <v>32.5</v>
      </c>
      <c r="C3">
        <f>Exp1_bodylightskinemmisivity1_7!B3</f>
        <v>30.75</v>
      </c>
      <c r="D3">
        <f>Exp1_bodylightskinemmisivity1_7!B4</f>
        <v>29.7</v>
      </c>
      <c r="E3">
        <f>Exp1_bodylightskinemmisivity1_7!B5</f>
        <v>28.75</v>
      </c>
      <c r="F3">
        <f>Exp1_bodylightskinemmisivity1_7!B6</f>
        <v>24.1</v>
      </c>
    </row>
    <row r="4" spans="1:6" x14ac:dyDescent="0.3">
      <c r="A4" s="17" t="s">
        <v>189</v>
      </c>
      <c r="B4">
        <f>Exp1_Lightskinlowtempnaturalh_8!B2</f>
        <v>32</v>
      </c>
      <c r="C4">
        <f>Exp1_Lightskinlowtempnaturalh_8!B3</f>
        <v>28.75</v>
      </c>
      <c r="D4">
        <f>Exp1_Lightskinlowtempnaturalh_8!B4</f>
        <v>27.8</v>
      </c>
      <c r="E4">
        <f>Exp1_Lightskinlowtempnaturalh_8!B5</f>
        <v>26.5</v>
      </c>
      <c r="F4">
        <f>Exp1_Lightskinlowtempnaturalh_8!B6</f>
        <v>25.2</v>
      </c>
    </row>
    <row r="5" spans="1:6" x14ac:dyDescent="0.3">
      <c r="A5" s="17" t="s">
        <v>188</v>
      </c>
      <c r="B5" s="12">
        <v>32.200000000000003</v>
      </c>
      <c r="C5" s="13">
        <v>30.5</v>
      </c>
      <c r="D5" s="12">
        <v>29.75</v>
      </c>
      <c r="E5" s="13">
        <v>28.75</v>
      </c>
      <c r="F5" s="12">
        <v>28.25</v>
      </c>
    </row>
    <row r="6" spans="1:6" x14ac:dyDescent="0.3">
      <c r="A6" s="17" t="s">
        <v>187</v>
      </c>
      <c r="B6">
        <f>'2Natutalillumination_light skin'!B2</f>
        <v>30.1</v>
      </c>
      <c r="C6">
        <f>'2Natutalillumination_light skin'!B3</f>
        <v>25.1</v>
      </c>
      <c r="D6">
        <f>'2Natutalillumination_light skin'!B4</f>
        <v>23</v>
      </c>
      <c r="E6">
        <f>'2Natutalillumination_light skin'!B5</f>
        <v>22</v>
      </c>
      <c r="F6">
        <f>'2Natutalillumination_light skin'!B6</f>
        <v>21</v>
      </c>
    </row>
    <row r="7" spans="1:6" x14ac:dyDescent="0.3">
      <c r="A7" s="17" t="s">
        <v>192</v>
      </c>
      <c r="B7">
        <f>'2ArtificialIllumination_Light_s'!B2</f>
        <v>28.1</v>
      </c>
      <c r="C7">
        <f>'2ArtificialIllumination_Light_s'!B3</f>
        <v>24.5</v>
      </c>
      <c r="D7">
        <f>'2ArtificialIllumination_Light_s'!B4</f>
        <v>23.5</v>
      </c>
      <c r="E7">
        <f>'2ArtificialIllumination_Light_s'!B5</f>
        <v>22</v>
      </c>
      <c r="F7">
        <f>'2ArtificialIllumination_Light_s'!B6</f>
        <v>22</v>
      </c>
    </row>
    <row r="8" spans="1:6" x14ac:dyDescent="0.3">
      <c r="A8" s="17" t="s">
        <v>193</v>
      </c>
      <c r="B8">
        <f>'2NatutalIlluminatn _ltsknwg'!B2</f>
        <v>30</v>
      </c>
      <c r="C8">
        <f>'2NatutalIlluminatn _ltsknwg'!B3</f>
        <v>26.5</v>
      </c>
      <c r="D8">
        <f>'2NatutalIlluminatn _ltsknwg'!B4</f>
        <v>24</v>
      </c>
      <c r="E8">
        <f>'2NatutalIlluminatn _ltsknwg'!B5</f>
        <v>22.5</v>
      </c>
      <c r="F8">
        <f>'2NatutalIlluminatn _ltsknwg'!B6</f>
        <v>21.8</v>
      </c>
    </row>
    <row r="9" spans="1:6" x14ac:dyDescent="0.3">
      <c r="A9" s="17" t="s">
        <v>194</v>
      </c>
      <c r="B9">
        <f>'2NatutalIlluminatn _ltsknwhgl'!B2</f>
        <v>30.5</v>
      </c>
      <c r="C9">
        <f>'2NatutalIlluminatn _ltsknwhgl'!B3</f>
        <v>25.5</v>
      </c>
      <c r="D9">
        <f>'2NatutalIlluminatn _ltsknwhgl'!B4</f>
        <v>24.3</v>
      </c>
      <c r="E9">
        <f>'2NatutalIlluminatn _ltsknwhgl'!B5</f>
        <v>22.25</v>
      </c>
      <c r="F9">
        <f>'2NatutalIlluminatn _ltsknwhgl'!B6</f>
        <v>21.8</v>
      </c>
    </row>
    <row r="10" spans="1:6" x14ac:dyDescent="0.3">
      <c r="A10" s="17" t="s">
        <v>195</v>
      </c>
      <c r="B10">
        <f>'2artificialillumintn_litsknwg'!B2</f>
        <v>28.8</v>
      </c>
      <c r="C10">
        <f>'2artificialillumintn_litsknwg'!B3</f>
        <v>25.5</v>
      </c>
      <c r="D10">
        <f>'2artificialillumintn_litsknwg'!B4</f>
        <v>24.1</v>
      </c>
      <c r="E10">
        <f>'2artificialillumintn_litsknwg'!B5</f>
        <v>23.8</v>
      </c>
      <c r="F10">
        <f>'2artificialillumintn_litsknwg'!B6</f>
        <v>23.5</v>
      </c>
    </row>
    <row r="11" spans="1:6" x14ac:dyDescent="0.3">
      <c r="A11" s="17" t="s">
        <v>196</v>
      </c>
      <c r="B11">
        <f>'2artificialillumintn_litsknwhgl'!B2</f>
        <v>29.5</v>
      </c>
      <c r="C11">
        <f>'2artificialillumintn_litsknwhgl'!B3</f>
        <v>25.5</v>
      </c>
      <c r="D11">
        <f>'2artificialillumintn_litsknwhgl'!B4</f>
        <v>24.5</v>
      </c>
      <c r="E11">
        <f>'2artificialillumintn_litsknwhgl'!B5</f>
        <v>23.8</v>
      </c>
      <c r="F11">
        <f>'2artificialillumintn_litsknwhgl'!B6</f>
        <v>23</v>
      </c>
    </row>
    <row r="12" spans="1:6" x14ac:dyDescent="0.3">
      <c r="A12" s="18" t="s">
        <v>197</v>
      </c>
      <c r="B12">
        <f>Exp1_bodydarkskinemissivity1_4!B2</f>
        <v>34.75</v>
      </c>
      <c r="C12">
        <f>Exp1_bodydarkskinemissivity1_4!B3</f>
        <v>32.25</v>
      </c>
      <c r="D12">
        <f>Exp1_bodydarkskinemissivity1_4!B4</f>
        <v>30.75</v>
      </c>
      <c r="E12">
        <f>Exp1_bodydarkskinemissivity1_4!B5</f>
        <v>30.25</v>
      </c>
      <c r="F12">
        <f>Exp1_bodydarkskinemissivity1_4!B6</f>
        <v>30</v>
      </c>
    </row>
    <row r="13" spans="1:6" x14ac:dyDescent="0.3">
      <c r="A13" s="18" t="s">
        <v>198</v>
      </c>
      <c r="B13">
        <f>Exp1_Bodydarkskinemissivity_5!B2</f>
        <v>34.5</v>
      </c>
      <c r="C13">
        <f>Exp1_Bodydarkskinemissivity_5!B3</f>
        <v>31.75</v>
      </c>
      <c r="D13">
        <f>Exp1_Bodydarkskinemissivity_5!B4</f>
        <v>30.5</v>
      </c>
      <c r="E13">
        <f>Exp1_Bodydarkskinemissivity_5!B5</f>
        <v>30.25</v>
      </c>
      <c r="F13">
        <f>Exp1_Bodydarkskinemissivity_5!B6</f>
        <v>29.75</v>
      </c>
    </row>
    <row r="14" spans="1:6" x14ac:dyDescent="0.3">
      <c r="A14" s="18" t="s">
        <v>203</v>
      </c>
      <c r="B14">
        <f>Exp1_Darkskinlowtempnaturalho_9!B2</f>
        <v>32.75</v>
      </c>
      <c r="C14">
        <f>Exp1_Darkskinlowtempnaturalho_9!B3</f>
        <v>29.25</v>
      </c>
      <c r="D14">
        <f>Exp1_Darkskinlowtempnaturalho_9!B4</f>
        <v>28.25</v>
      </c>
      <c r="E14">
        <f>Exp1_Darkskinlowtempnaturalho_9!B5</f>
        <v>27.25</v>
      </c>
      <c r="F14">
        <f>Exp1_Darkskinlowtempnaturalho_9!B6</f>
        <v>27</v>
      </c>
    </row>
    <row r="15" spans="1:6" x14ac:dyDescent="0.3">
      <c r="A15" s="18" t="s">
        <v>204</v>
      </c>
      <c r="B15">
        <f>Exp1_Darksknlowtepartificial_10!B2</f>
        <v>32.5</v>
      </c>
      <c r="C15">
        <f>Exp1_Darksknlowtepartificial_10!B3</f>
        <v>29.5</v>
      </c>
      <c r="D15">
        <f>Exp1_Darksknlowtepartificial_10!B4</f>
        <v>28.75</v>
      </c>
      <c r="E15">
        <f>Exp1_Darksknlowtepartificial_10!B5</f>
        <v>27.75</v>
      </c>
      <c r="F15">
        <f>Exp1_Darksknlowtepartificial_10!B6</f>
        <v>26.75</v>
      </c>
    </row>
    <row r="16" spans="1:6" x14ac:dyDescent="0.3">
      <c r="A16" s="18" t="s">
        <v>207</v>
      </c>
      <c r="B16">
        <f>'2NauralIllumination_dark_skinwg'!B2</f>
        <v>29</v>
      </c>
      <c r="C16">
        <f>'2NauralIllumination_dark_skinwg'!B3</f>
        <v>24.5</v>
      </c>
      <c r="D16">
        <f>'2NauralIllumination_dark_skinwg'!B4</f>
        <v>23.5</v>
      </c>
      <c r="E16">
        <f>'2NauralIllumination_dark_skinwg'!B5</f>
        <v>22</v>
      </c>
      <c r="F16">
        <f>'2NauralIllumination_dark_skinwg'!B6</f>
        <v>21.5</v>
      </c>
    </row>
    <row r="17" spans="1:13" x14ac:dyDescent="0.3">
      <c r="A17" s="18" t="s">
        <v>208</v>
      </c>
      <c r="B17">
        <f>'2NauralIllumination_darkskinwtg'!B2</f>
        <v>29.7</v>
      </c>
      <c r="C17">
        <f>'2NauralIllumination_darkskinwtg'!B3</f>
        <v>25.7</v>
      </c>
      <c r="D17">
        <f>'2NauralIllumination_darkskinwtg'!B4</f>
        <v>23.8</v>
      </c>
      <c r="E17">
        <f>'2NauralIllumination_darkskinwtg'!B5</f>
        <v>21.8</v>
      </c>
      <c r="F17">
        <f>'2NauralIllumination_darkskinwtg'!B6</f>
        <v>21.5</v>
      </c>
    </row>
    <row r="18" spans="1:13" x14ac:dyDescent="0.3">
      <c r="A18" s="18" t="s">
        <v>209</v>
      </c>
      <c r="B18">
        <f>'2artificialilluminatn_dksknwG'!B2</f>
        <v>29</v>
      </c>
      <c r="C18">
        <f>'2artificialilluminatn_dksknwG'!B3</f>
        <v>26.5</v>
      </c>
      <c r="D18">
        <f>'2artificialilluminatn_dksknwG'!B4</f>
        <v>24</v>
      </c>
      <c r="E18">
        <f>'2artificialilluminatn_dksknwG'!B5</f>
        <v>23</v>
      </c>
      <c r="F18">
        <f>'2artificialilluminatn_dksknwG'!B6</f>
        <v>22.8</v>
      </c>
    </row>
    <row r="19" spans="1:13" x14ac:dyDescent="0.3">
      <c r="A19" s="18" t="s">
        <v>210</v>
      </c>
      <c r="B19">
        <f>'2Artificialillumination_Dark_sk'!B2</f>
        <v>29.8</v>
      </c>
      <c r="C19">
        <f>'2Artificialillumination_Dark_sk'!B3</f>
        <v>26.3</v>
      </c>
      <c r="D19">
        <f>'2Artificialillumination_Dark_sk'!B4</f>
        <v>24.5</v>
      </c>
      <c r="E19">
        <f>'2Artificialillumination_Dark_sk'!B5</f>
        <v>23</v>
      </c>
      <c r="F19">
        <f>'2Artificialillumination_Dark_sk'!B6</f>
        <v>22.5</v>
      </c>
    </row>
    <row r="21" spans="1:13" x14ac:dyDescent="0.3">
      <c r="A21" s="19" t="s">
        <v>211</v>
      </c>
      <c r="B21">
        <f>AVERAGE(B2:B19)</f>
        <v>31.080555555555552</v>
      </c>
      <c r="C21">
        <f>AVERAGE(C2:C19)</f>
        <v>27.769444444444446</v>
      </c>
      <c r="D21">
        <f>AVERAGE(D2:D19)</f>
        <v>26.383333333333336</v>
      </c>
      <c r="E21">
        <f>AVERAGE(E2:E19)</f>
        <v>25.286111111111111</v>
      </c>
      <c r="F21">
        <f>AVERAGE(F2:F19)</f>
        <v>24.497222222222224</v>
      </c>
    </row>
    <row r="22" spans="1:13" x14ac:dyDescent="0.3">
      <c r="A22" s="20"/>
    </row>
    <row r="23" spans="1:13" x14ac:dyDescent="0.3">
      <c r="A23" s="19" t="s">
        <v>119</v>
      </c>
      <c r="B23">
        <f>_xlfn.STDEV.S(B2:B19)</f>
        <v>2.0644140949808389</v>
      </c>
      <c r="C23">
        <f>_xlfn.STDEV.S(C2:C19)</f>
        <v>2.7218688913020608</v>
      </c>
      <c r="D23">
        <f>_xlfn.STDEV.S(D2:D19)</f>
        <v>2.9382367661775679</v>
      </c>
      <c r="E23">
        <f>_xlfn.STDEV.S(E2:E19)</f>
        <v>3.2434007912699307</v>
      </c>
      <c r="F23">
        <f>_xlfn.STDEV.S(F2:F19)</f>
        <v>3.0779802498230246</v>
      </c>
    </row>
    <row r="29" spans="1:13" x14ac:dyDescent="0.3">
      <c r="M29" s="11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ED5D-F41A-4B3B-8A72-3E652CBED419}">
  <dimension ref="A1:F24"/>
  <sheetViews>
    <sheetView workbookViewId="0">
      <selection activeCell="A17" sqref="A17:F18"/>
    </sheetView>
  </sheetViews>
  <sheetFormatPr defaultRowHeight="14.4" x14ac:dyDescent="0.3"/>
  <cols>
    <col min="1" max="1" width="106.44140625" customWidth="1"/>
    <col min="3" max="6" width="9.21875" customWidth="1"/>
  </cols>
  <sheetData>
    <row r="1" spans="1:6" x14ac:dyDescent="0.3">
      <c r="A1" s="11" t="s">
        <v>213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s="17" t="s">
        <v>191</v>
      </c>
      <c r="B2">
        <f>Exp1_bodylightskinemmisivity_6!C2</f>
        <v>30.3</v>
      </c>
      <c r="C2">
        <f>Exp1_bodylightskinemmisivity_6!C3</f>
        <v>29.3</v>
      </c>
      <c r="D2">
        <f>Exp1_bodylightskinemmisivity_6!C4</f>
        <v>28.8</v>
      </c>
      <c r="E2">
        <f>Exp1_bodylightskinemmisivity_6!C5</f>
        <v>28.3</v>
      </c>
      <c r="F2">
        <f>Exp1_bodylightskinemmisivity_6!C6</f>
        <v>28</v>
      </c>
    </row>
    <row r="3" spans="1:6" x14ac:dyDescent="0.3">
      <c r="A3" s="17" t="s">
        <v>190</v>
      </c>
      <c r="B3">
        <f>Exp1_bodylightskinemmisivity1_7!C2</f>
        <v>29.8</v>
      </c>
      <c r="C3">
        <f>Exp1_bodylightskinemmisivity1_7!C3</f>
        <v>28.2</v>
      </c>
      <c r="D3">
        <f>Exp1_bodylightskinemmisivity1_7!C4</f>
        <v>25.9</v>
      </c>
      <c r="E3">
        <f>Exp1_bodylightskinemmisivity1_7!C5</f>
        <v>25.2</v>
      </c>
      <c r="F3">
        <f>Exp1_bodylightskinemmisivity1_7!C6</f>
        <v>20.2</v>
      </c>
    </row>
    <row r="4" spans="1:6" x14ac:dyDescent="0.3">
      <c r="A4" s="17" t="s">
        <v>189</v>
      </c>
      <c r="B4">
        <f>Exp1_Lightskinlowtempnaturalh_8!C2</f>
        <v>31.6</v>
      </c>
      <c r="C4">
        <f>Exp1_Lightskinlowtempnaturalh_8!C3</f>
        <v>30</v>
      </c>
      <c r="D4">
        <f>Exp1_Lightskinlowtempnaturalh_8!C4</f>
        <v>29</v>
      </c>
      <c r="E4">
        <f>Exp1_Lightskinlowtempnaturalh_8!C5</f>
        <v>28.2</v>
      </c>
      <c r="F4">
        <f>Exp1_Lightskinlowtempnaturalh_8!C6</f>
        <v>27.5</v>
      </c>
    </row>
    <row r="5" spans="1:6" x14ac:dyDescent="0.3">
      <c r="A5" s="17" t="s">
        <v>188</v>
      </c>
      <c r="B5">
        <f>Exp1_lghtsknlowtempartificia_11!C2</f>
        <v>30.1</v>
      </c>
      <c r="C5">
        <f>Exp1_lghtsknlowtempartificia_11!C3</f>
        <v>30</v>
      </c>
      <c r="D5">
        <f>Exp1_lghtsknlowtempartificia_11!C4</f>
        <v>28.8</v>
      </c>
      <c r="E5">
        <f>Exp1_lghtsknlowtempartificia_11!C5</f>
        <v>27.5</v>
      </c>
      <c r="F5">
        <f>Exp1_lghtsknlowtempartificia_11!C6</f>
        <v>27.4</v>
      </c>
    </row>
    <row r="6" spans="1:6" x14ac:dyDescent="0.3">
      <c r="A6" s="17" t="s">
        <v>187</v>
      </c>
      <c r="B6">
        <f>'2Natutalillumination_light skin'!C2</f>
        <v>29.7</v>
      </c>
      <c r="C6">
        <f>'2Natutalillumination_light skin'!C3</f>
        <v>29</v>
      </c>
      <c r="D6">
        <f>'2Natutalillumination_light skin'!C4</f>
        <v>24</v>
      </c>
      <c r="E6">
        <f>'2Natutalillumination_light skin'!C5</f>
        <v>24</v>
      </c>
      <c r="F6">
        <f>'2Natutalillumination_light skin'!C6</f>
        <v>24</v>
      </c>
    </row>
    <row r="7" spans="1:6" x14ac:dyDescent="0.3">
      <c r="A7" s="17" t="s">
        <v>192</v>
      </c>
      <c r="B7">
        <f>'2ArtificialIllumination_Light_s'!C2</f>
        <v>30.4</v>
      </c>
      <c r="C7">
        <f>'2ArtificialIllumination_Light_s'!C3</f>
        <v>29.2</v>
      </c>
      <c r="D7">
        <f>'2ArtificialIllumination_Light_s'!C4</f>
        <v>27.5</v>
      </c>
      <c r="E7">
        <f>'2ArtificialIllumination_Light_s'!C5</f>
        <v>26.2</v>
      </c>
      <c r="F7">
        <f>'2ArtificialIllumination_Light_s'!C6</f>
        <v>24.2</v>
      </c>
    </row>
    <row r="8" spans="1:6" x14ac:dyDescent="0.3">
      <c r="A8" s="17" t="s">
        <v>193</v>
      </c>
      <c r="B8">
        <f>'2NatutalIlluminatn _ltsknwg'!C2</f>
        <v>30.4</v>
      </c>
      <c r="C8">
        <f>'2NatutalIlluminatn _ltsknwg'!C3</f>
        <v>28.6</v>
      </c>
      <c r="D8">
        <f>'2NatutalIlluminatn _ltsknwg'!C4</f>
        <v>26.2</v>
      </c>
      <c r="E8">
        <f>'2NatutalIlluminatn _ltsknwg'!C5</f>
        <v>24.6</v>
      </c>
      <c r="F8">
        <f>'2NatutalIlluminatn _ltsknwg'!C6</f>
        <v>22.9</v>
      </c>
    </row>
    <row r="9" spans="1:6" x14ac:dyDescent="0.3">
      <c r="A9" s="17" t="s">
        <v>194</v>
      </c>
      <c r="B9">
        <f>'2NatutalIlluminatn _ltsknwhgl'!C2</f>
        <v>30.3</v>
      </c>
      <c r="C9">
        <f>'2NatutalIlluminatn _ltsknwhgl'!C3</f>
        <v>28.9</v>
      </c>
      <c r="D9">
        <f>'2NatutalIlluminatn _ltsknwhgl'!C4</f>
        <v>27.5</v>
      </c>
      <c r="E9">
        <f>'2NatutalIlluminatn _ltsknwhgl'!C5</f>
        <v>26.3</v>
      </c>
      <c r="F9">
        <f>'2NatutalIlluminatn _ltsknwhgl'!C6</f>
        <v>23.6</v>
      </c>
    </row>
    <row r="10" spans="1:6" x14ac:dyDescent="0.3">
      <c r="A10" s="17" t="s">
        <v>195</v>
      </c>
      <c r="B10">
        <f>'2artificialillumintn_litsknwg'!C2</f>
        <v>30.5</v>
      </c>
      <c r="C10">
        <f>'2artificialillumintn_litsknwg'!C3</f>
        <v>28.5</v>
      </c>
      <c r="D10">
        <f>'2artificialillumintn_litsknwg'!C4</f>
        <v>28.1</v>
      </c>
      <c r="E10">
        <f>'2artificialillumintn_litsknwg'!C5</f>
        <v>27</v>
      </c>
      <c r="F10">
        <f>'2artificialillumintn_litsknwg'!C6</f>
        <v>26.1</v>
      </c>
    </row>
    <row r="11" spans="1:6" x14ac:dyDescent="0.3">
      <c r="A11" s="17" t="s">
        <v>196</v>
      </c>
      <c r="B11">
        <f>'2artificialillumintn_litsknwhgl'!C2</f>
        <v>30.8</v>
      </c>
      <c r="C11">
        <f>'2artificialillumintn_litsknwhgl'!C3</f>
        <v>28.9</v>
      </c>
      <c r="D11">
        <f>'2artificialillumintn_litsknwhgl'!C4</f>
        <v>28</v>
      </c>
      <c r="E11">
        <f>'2artificialillumintn_litsknwhgl'!C5</f>
        <v>27.5</v>
      </c>
      <c r="F11">
        <f>'2artificialillumintn_litsknwhgl'!C6</f>
        <v>26.5</v>
      </c>
    </row>
    <row r="12" spans="1:6" x14ac:dyDescent="0.3">
      <c r="A12" s="18" t="s">
        <v>197</v>
      </c>
      <c r="B12">
        <f>Exp1_bodydarkskinemissivity1_4!C2</f>
        <v>30.1</v>
      </c>
      <c r="C12">
        <f>Exp1_bodydarkskinemissivity1_4!C3</f>
        <v>28.4</v>
      </c>
      <c r="D12">
        <f>Exp1_bodydarkskinemissivity1_4!C4</f>
        <v>28.7</v>
      </c>
      <c r="E12">
        <f>Exp1_bodydarkskinemissivity1_4!C5</f>
        <v>25.3</v>
      </c>
      <c r="F12">
        <f>Exp1_bodydarkskinemissivity1_4!C6</f>
        <v>25</v>
      </c>
    </row>
    <row r="13" spans="1:6" x14ac:dyDescent="0.3">
      <c r="A13" s="18" t="s">
        <v>198</v>
      </c>
      <c r="B13">
        <f>Exp1_Bodydarkskinemissivity_5!C2</f>
        <v>30.4</v>
      </c>
      <c r="C13">
        <f>Exp1_Bodydarkskinemissivity_5!C3</f>
        <v>29.9</v>
      </c>
      <c r="D13">
        <f>Exp1_Bodydarkskinemissivity_5!C4</f>
        <v>28.7</v>
      </c>
      <c r="E13">
        <f>Exp1_Bodydarkskinemissivity_5!C5</f>
        <v>27.7</v>
      </c>
      <c r="F13">
        <f>Exp1_Bodydarkskinemissivity_5!C6</f>
        <v>25.7</v>
      </c>
    </row>
    <row r="14" spans="1:6" x14ac:dyDescent="0.3">
      <c r="A14" s="18" t="s">
        <v>202</v>
      </c>
      <c r="B14">
        <f>Exp1_Darkskinlowtempnaturalho_9!C2</f>
        <v>30.9</v>
      </c>
      <c r="C14">
        <f>Exp1_Darkskinlowtempnaturalho_9!C3</f>
        <v>29.5</v>
      </c>
      <c r="D14">
        <f>Exp1_Darkskinlowtempnaturalho_9!C4</f>
        <v>28.8</v>
      </c>
      <c r="E14">
        <f>Exp1_Darkskinlowtempnaturalho_9!C5</f>
        <v>28.5</v>
      </c>
      <c r="F14">
        <f>Exp1_Darkskinlowtempnaturalho_9!C6</f>
        <v>28.5</v>
      </c>
    </row>
    <row r="15" spans="1:6" x14ac:dyDescent="0.3">
      <c r="A15" s="18" t="s">
        <v>205</v>
      </c>
      <c r="B15">
        <f>Exp1_Darksknlowtepartificial_10!C2</f>
        <v>30.4</v>
      </c>
      <c r="C15">
        <f>Exp1_Darksknlowtepartificial_10!C3</f>
        <v>29.6</v>
      </c>
      <c r="D15">
        <f>Exp1_Darksknlowtepartificial_10!C4</f>
        <v>28</v>
      </c>
      <c r="E15">
        <f>Exp1_Darksknlowtepartificial_10!C5</f>
        <v>26.2</v>
      </c>
      <c r="F15">
        <f>Exp1_Darksknlowtepartificial_10!C6</f>
        <v>26.5</v>
      </c>
    </row>
    <row r="16" spans="1:6" x14ac:dyDescent="0.3">
      <c r="A16" t="s">
        <v>207</v>
      </c>
      <c r="B16">
        <f>'2NauralIllumination_dark_skinwg'!C2</f>
        <v>29.3</v>
      </c>
      <c r="C16">
        <f>'2NauralIllumination_dark_skinwg'!C3</f>
        <v>29</v>
      </c>
      <c r="D16">
        <f>'2NauralIllumination_dark_skinwg'!C4</f>
        <v>27.8</v>
      </c>
      <c r="E16">
        <f>'2NauralIllumination_dark_skinwg'!C5</f>
        <v>27.8</v>
      </c>
      <c r="F16">
        <f>'2NauralIllumination_dark_skinwg'!C6</f>
        <v>25</v>
      </c>
    </row>
    <row r="17" spans="1:6" x14ac:dyDescent="0.3">
      <c r="A17" s="18" t="s">
        <v>208</v>
      </c>
      <c r="B17">
        <f>'2NauralIllumination_darkskinwtg'!C2</f>
        <v>30</v>
      </c>
      <c r="C17">
        <f>'2NauralIllumination_darkskinwtg'!C3</f>
        <v>29.8</v>
      </c>
      <c r="D17">
        <f>'2NauralIllumination_darkskinwtg'!C4</f>
        <v>28.9</v>
      </c>
      <c r="E17">
        <f>'2NauralIllumination_darkskinwtg'!C5</f>
        <v>27.3</v>
      </c>
      <c r="F17">
        <f>'2NauralIllumination_darkskinwtg'!C6</f>
        <v>26.2</v>
      </c>
    </row>
    <row r="18" spans="1:6" x14ac:dyDescent="0.3">
      <c r="A18" s="18" t="s">
        <v>209</v>
      </c>
      <c r="B18">
        <f>'2artificialilluminatn_dksknwG'!C2</f>
        <v>29.7</v>
      </c>
      <c r="C18">
        <f>'2artificialilluminatn_dksknwG'!C3</f>
        <v>28.7</v>
      </c>
      <c r="D18">
        <f>'2artificialilluminatn_dksknwG'!C4</f>
        <v>27.9</v>
      </c>
      <c r="E18">
        <f>'2artificialilluminatn_dksknwG'!C5</f>
        <v>26.3</v>
      </c>
      <c r="F18">
        <f>'2artificialilluminatn_dksknwG'!C6</f>
        <v>26.1</v>
      </c>
    </row>
    <row r="19" spans="1:6" x14ac:dyDescent="0.3">
      <c r="A19" s="18" t="s">
        <v>210</v>
      </c>
      <c r="B19">
        <f>'2Artificialillumination_Dark_sk'!C2</f>
        <v>29.9</v>
      </c>
      <c r="C19">
        <f>'2Artificialillumination_Dark_sk'!C3</f>
        <v>29.2</v>
      </c>
      <c r="D19">
        <f>'2Artificialillumination_Dark_sk'!C4</f>
        <v>28.4</v>
      </c>
      <c r="E19">
        <f>'2Artificialillumination_Dark_sk'!C5</f>
        <v>27.5</v>
      </c>
      <c r="F19">
        <f>'2Artificialillumination_Dark_sk'!C6</f>
        <v>26.4</v>
      </c>
    </row>
    <row r="22" spans="1:6" x14ac:dyDescent="0.3">
      <c r="A22" s="19" t="s">
        <v>184</v>
      </c>
      <c r="B22">
        <f>AVERAGE(B2:B19)</f>
        <v>30.255555555555556</v>
      </c>
      <c r="C22">
        <f>AVERAGE(C2:C19)</f>
        <v>29.149999999999995</v>
      </c>
      <c r="D22">
        <f>AVERAGE(D2:D19)</f>
        <v>27.833333333333329</v>
      </c>
      <c r="E22">
        <f>AVERAGE(E2:E19)</f>
        <v>26.744444444444444</v>
      </c>
      <c r="F22">
        <f>AVERAGE(F2:F19)</f>
        <v>25.544444444444441</v>
      </c>
    </row>
    <row r="23" spans="1:6" x14ac:dyDescent="0.3">
      <c r="A23" s="20"/>
    </row>
    <row r="24" spans="1:6" x14ac:dyDescent="0.3">
      <c r="A24" s="19" t="s">
        <v>119</v>
      </c>
      <c r="B24">
        <f>_xlfn.STDEV.S(B2:B19)</f>
        <v>0.5226878747197844</v>
      </c>
      <c r="C24">
        <f>_xlfn.STDEV.S(C2:C19)</f>
        <v>0.56072432148595319</v>
      </c>
      <c r="D24">
        <f>_xlfn.STDEV.S(D2:D19)</f>
        <v>1.296601893638998</v>
      </c>
      <c r="E24">
        <f>_xlfn.STDEV.S(E2:E19)</f>
        <v>1.313380112633596</v>
      </c>
      <c r="F24">
        <f>_xlfn.STDEV.S(F2:F19)</f>
        <v>2.0260718941492275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92E9-8CB1-4316-AC16-719229DB2DC5}">
  <dimension ref="A1:F24"/>
  <sheetViews>
    <sheetView workbookViewId="0">
      <selection activeCell="A17" sqref="A17:F18"/>
    </sheetView>
  </sheetViews>
  <sheetFormatPr defaultRowHeight="14.4" x14ac:dyDescent="0.3"/>
  <cols>
    <col min="1" max="1" width="105.88671875" customWidth="1"/>
    <col min="3" max="6" width="9.21875" customWidth="1"/>
  </cols>
  <sheetData>
    <row r="1" spans="1:6" x14ac:dyDescent="0.3">
      <c r="A1" s="11" t="s">
        <v>214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s="17" t="s">
        <v>191</v>
      </c>
      <c r="B2">
        <f>Exp1_bodylightskinemmisivity_6!D2</f>
        <v>33.5</v>
      </c>
      <c r="C2">
        <f>Exp1_bodylightskinemmisivity_6!D3</f>
        <v>31.7</v>
      </c>
      <c r="D2">
        <f>Exp1_bodylightskinemmisivity_6!D4</f>
        <v>30</v>
      </c>
      <c r="E2">
        <f>Exp1_bodylightskinemmisivity_6!D5</f>
        <v>29</v>
      </c>
      <c r="F2">
        <f>Exp1_bodylightskinemmisivity_6!D6</f>
        <v>29</v>
      </c>
    </row>
    <row r="3" spans="1:6" x14ac:dyDescent="0.3">
      <c r="A3" s="17" t="s">
        <v>190</v>
      </c>
      <c r="B3">
        <f>Exp1_bodylightskinemmisivity1_7!D2</f>
        <v>32.5</v>
      </c>
      <c r="C3">
        <f>Exp1_bodylightskinemmisivity1_7!D3</f>
        <v>30.5</v>
      </c>
      <c r="D3">
        <f>Exp1_bodylightskinemmisivity1_7!D4</f>
        <v>30</v>
      </c>
      <c r="E3">
        <f>Exp1_bodylightskinemmisivity1_7!D5</f>
        <v>29</v>
      </c>
      <c r="F3">
        <f>Exp1_bodylightskinemmisivity1_7!D6</f>
        <v>24</v>
      </c>
    </row>
    <row r="4" spans="1:6" x14ac:dyDescent="0.3">
      <c r="A4" s="17" t="s">
        <v>189</v>
      </c>
      <c r="B4">
        <f>Exp1_Lightskinlowtempnaturalh_8!D2</f>
        <v>32</v>
      </c>
      <c r="C4">
        <f>Exp1_Lightskinlowtempnaturalh_8!D3</f>
        <v>29</v>
      </c>
      <c r="D4">
        <f>Exp1_Lightskinlowtempnaturalh_8!D4</f>
        <v>27.25</v>
      </c>
      <c r="E4">
        <f>Exp1_Lightskinlowtempnaturalh_8!D5</f>
        <v>26.5</v>
      </c>
      <c r="F4">
        <f>Exp1_Lightskinlowtempnaturalh_8!D6</f>
        <v>25</v>
      </c>
    </row>
    <row r="5" spans="1:6" x14ac:dyDescent="0.3">
      <c r="A5" s="17" t="s">
        <v>188</v>
      </c>
      <c r="B5">
        <f>Exp1_lghtsknlowtempartificia_11!D2</f>
        <v>31.5</v>
      </c>
      <c r="C5">
        <f>Exp1_lghtsknlowtempartificia_11!D3</f>
        <v>29.25</v>
      </c>
      <c r="D5">
        <f>Exp1_lghtsknlowtempartificia_11!D4</f>
        <v>28.5</v>
      </c>
      <c r="E5">
        <f>Exp1_lghtsknlowtempartificia_11!D5</f>
        <v>28</v>
      </c>
      <c r="F5">
        <f>Exp1_lghtsknlowtempartificia_11!D6</f>
        <v>27.5</v>
      </c>
    </row>
    <row r="6" spans="1:6" x14ac:dyDescent="0.3">
      <c r="A6" s="17" t="s">
        <v>187</v>
      </c>
      <c r="B6">
        <f>'2Natutalillumination_light skin'!D2</f>
        <v>30</v>
      </c>
      <c r="C6">
        <f>'2Natutalillumination_light skin'!D3</f>
        <v>24.9</v>
      </c>
      <c r="D6">
        <f>'2Natutalillumination_light skin'!D4</f>
        <v>23</v>
      </c>
      <c r="E6">
        <f>'2Natutalillumination_light skin'!D5</f>
        <v>21</v>
      </c>
      <c r="F6">
        <f>'2Natutalillumination_light skin'!D6</f>
        <v>21</v>
      </c>
    </row>
    <row r="7" spans="1:6" x14ac:dyDescent="0.3">
      <c r="A7" s="17" t="s">
        <v>192</v>
      </c>
      <c r="B7">
        <f>'2ArtificialIllumination_Light_s'!D2</f>
        <v>29</v>
      </c>
      <c r="C7">
        <f>'2ArtificialIllumination_Light_s'!D3</f>
        <v>25.6</v>
      </c>
      <c r="D7">
        <f>'2ArtificialIllumination_Light_s'!D4</f>
        <v>24</v>
      </c>
      <c r="E7">
        <f>'2ArtificialIllumination_Light_s'!D5</f>
        <v>22.5</v>
      </c>
      <c r="F7">
        <f>'2ArtificialIllumination_Light_s'!D6</f>
        <v>22</v>
      </c>
    </row>
    <row r="8" spans="1:6" x14ac:dyDescent="0.3">
      <c r="A8" s="17" t="s">
        <v>193</v>
      </c>
      <c r="B8">
        <f>'2NatutalIlluminatn _ltsknwg'!D2</f>
        <v>30.5</v>
      </c>
      <c r="C8">
        <f>'2NatutalIlluminatn _ltsknwg'!D3</f>
        <v>26</v>
      </c>
      <c r="D8">
        <f>'2NatutalIlluminatn _ltsknwg'!D4</f>
        <v>24.5</v>
      </c>
      <c r="E8">
        <f>'2NatutalIlluminatn _ltsknwg'!D5</f>
        <v>23</v>
      </c>
      <c r="F8">
        <f>'2NatutalIlluminatn _ltsknwg'!D6</f>
        <v>22.5</v>
      </c>
    </row>
    <row r="9" spans="1:6" x14ac:dyDescent="0.3">
      <c r="A9" s="17" t="s">
        <v>194</v>
      </c>
      <c r="B9">
        <f>'2NatutalIlluminatn _ltsknwhgl'!D2</f>
        <v>31.2</v>
      </c>
      <c r="C9">
        <f>'2NatutalIlluminatn _ltsknwhgl'!D3</f>
        <v>26</v>
      </c>
      <c r="D9">
        <f>'2NatutalIlluminatn _ltsknwhgl'!D4</f>
        <v>25</v>
      </c>
      <c r="E9">
        <f>'2NatutalIlluminatn _ltsknwhgl'!D5</f>
        <v>24</v>
      </c>
      <c r="F9">
        <f>'2NatutalIlluminatn _ltsknwhgl'!D6</f>
        <v>23.3</v>
      </c>
    </row>
    <row r="10" spans="1:6" x14ac:dyDescent="0.3">
      <c r="A10" s="17" t="s">
        <v>195</v>
      </c>
      <c r="B10">
        <f>'2artificialillumintn_litsknwg'!D2</f>
        <v>29.5</v>
      </c>
      <c r="C10">
        <f>'2artificialillumintn_litsknwg'!D3</f>
        <v>26.3</v>
      </c>
      <c r="D10">
        <f>'2artificialillumintn_litsknwg'!D4</f>
        <v>25</v>
      </c>
      <c r="E10">
        <f>'2artificialillumintn_litsknwg'!D5</f>
        <v>24.3</v>
      </c>
      <c r="F10">
        <f>'2artificialillumintn_litsknwg'!D6</f>
        <v>24</v>
      </c>
    </row>
    <row r="11" spans="1:6" x14ac:dyDescent="0.3">
      <c r="A11" s="17" t="s">
        <v>196</v>
      </c>
      <c r="B11">
        <f>'2artificialillumintn_litsknwhgl'!D2</f>
        <v>30.5</v>
      </c>
      <c r="C11">
        <f>'2artificialillumintn_litsknwhgl'!D3</f>
        <v>26.3</v>
      </c>
      <c r="D11">
        <f>'2artificialillumintn_litsknwhgl'!D4</f>
        <v>25.3</v>
      </c>
      <c r="E11">
        <f>'2artificialillumintn_litsknwhgl'!D5</f>
        <v>24.8</v>
      </c>
      <c r="F11">
        <f>'2artificialillumintn_litsknwhgl'!D6</f>
        <v>24</v>
      </c>
    </row>
    <row r="12" spans="1:6" x14ac:dyDescent="0.3">
      <c r="A12" s="18" t="s">
        <v>199</v>
      </c>
      <c r="B12">
        <f>Exp1_bodydarkskinemissivity1_4!D2</f>
        <v>33.5</v>
      </c>
      <c r="C12">
        <f>Exp1_bodydarkskinemissivity1_4!D3</f>
        <v>31.75</v>
      </c>
      <c r="D12">
        <f>Exp1_bodydarkskinemissivity1_4!D4</f>
        <v>30.25</v>
      </c>
      <c r="E12">
        <f>Exp1_bodydarkskinemissivity1_4!D5</f>
        <v>29.25</v>
      </c>
      <c r="F12">
        <f>Exp1_bodydarkskinemissivity1_4!D6</f>
        <v>29.75</v>
      </c>
    </row>
    <row r="13" spans="1:6" x14ac:dyDescent="0.3">
      <c r="A13" s="18" t="s">
        <v>200</v>
      </c>
      <c r="B13">
        <f>Exp1_Bodydarkskinemissivity_5!D2</f>
        <v>33.25</v>
      </c>
      <c r="C13">
        <f>Exp1_Bodydarkskinemissivity_5!D3</f>
        <v>31</v>
      </c>
      <c r="D13">
        <f>Exp1_Bodydarkskinemissivity_5!D4</f>
        <v>30.25</v>
      </c>
      <c r="E13">
        <f>Exp1_Bodydarkskinemissivity_5!D5</f>
        <v>29.75</v>
      </c>
      <c r="F13">
        <f>Exp1_Bodydarkskinemissivity_5!D6</f>
        <v>29.75</v>
      </c>
    </row>
    <row r="14" spans="1:6" x14ac:dyDescent="0.3">
      <c r="A14" s="18" t="s">
        <v>201</v>
      </c>
      <c r="B14">
        <f>Exp1_Darkskinlowtempnaturalho_9!D2</f>
        <v>31.5</v>
      </c>
      <c r="C14">
        <f>Exp1_Darkskinlowtempnaturalho_9!D3</f>
        <v>28.5</v>
      </c>
      <c r="D14">
        <f>Exp1_Darkskinlowtempnaturalho_9!D4</f>
        <v>28.5</v>
      </c>
      <c r="E14">
        <f>Exp1_Darkskinlowtempnaturalho_9!D5</f>
        <v>27</v>
      </c>
      <c r="F14">
        <f>Exp1_Darkskinlowtempnaturalho_9!D6</f>
        <v>26.25</v>
      </c>
    </row>
    <row r="15" spans="1:6" x14ac:dyDescent="0.3">
      <c r="A15" s="18" t="s">
        <v>206</v>
      </c>
      <c r="B15">
        <f>Exp1_Darksknlowtepartificial_10!D2</f>
        <v>32.25</v>
      </c>
      <c r="C15">
        <f>Exp1_Darksknlowtepartificial_10!D3</f>
        <v>29.75</v>
      </c>
      <c r="D15">
        <f>Exp1_Darksknlowtepartificial_10!D4</f>
        <v>28.75</v>
      </c>
      <c r="E15">
        <f>Exp1_Darksknlowtepartificial_10!D5</f>
        <v>26.2</v>
      </c>
      <c r="F15">
        <f>Exp1_Darksknlowtepartificial_10!D6</f>
        <v>27</v>
      </c>
    </row>
    <row r="16" spans="1:6" x14ac:dyDescent="0.3">
      <c r="A16" t="s">
        <v>207</v>
      </c>
      <c r="B16">
        <f>'2NauralIllumination_dark_skinwg'!D2</f>
        <v>29.5</v>
      </c>
      <c r="C16">
        <f>'2NauralIllumination_dark_skinwg'!D3</f>
        <v>25.75</v>
      </c>
      <c r="D16">
        <f>'2NauralIllumination_dark_skinwg'!D4</f>
        <v>24</v>
      </c>
      <c r="E16">
        <f>'2NauralIllumination_dark_skinwg'!D5</f>
        <v>24</v>
      </c>
      <c r="F16">
        <f>'2NauralIllumination_dark_skinwg'!D6</f>
        <v>22.5</v>
      </c>
    </row>
    <row r="17" spans="1:6" x14ac:dyDescent="0.3">
      <c r="A17" s="18" t="s">
        <v>208</v>
      </c>
      <c r="B17">
        <f>'2NauralIllumination_darkskinwtg'!D2</f>
        <v>31.5</v>
      </c>
      <c r="C17">
        <f>'2NauralIllumination_darkskinwtg'!D3</f>
        <v>27</v>
      </c>
      <c r="D17">
        <f>'2NauralIllumination_darkskinwtg'!D4</f>
        <v>24.3</v>
      </c>
      <c r="E17">
        <f>'2NauralIllumination_darkskinwtg'!D5</f>
        <v>22.5</v>
      </c>
      <c r="F17">
        <f>'2NauralIllumination_darkskinwtg'!D6</f>
        <v>22</v>
      </c>
    </row>
    <row r="18" spans="1:6" x14ac:dyDescent="0.3">
      <c r="A18" s="18" t="s">
        <v>209</v>
      </c>
      <c r="B18">
        <f>'2artificialilluminatn_dksknwG'!D2</f>
        <v>30</v>
      </c>
      <c r="C18">
        <f>'2artificialilluminatn_dksknwG'!D3</f>
        <v>26.8</v>
      </c>
      <c r="D18">
        <f>'2artificialilluminatn_dksknwG'!D4</f>
        <v>24.5</v>
      </c>
      <c r="E18">
        <f>'2artificialilluminatn_dksknwG'!D5</f>
        <v>24.4</v>
      </c>
      <c r="F18">
        <f>'2artificialilluminatn_dksknwG'!D6</f>
        <v>23</v>
      </c>
    </row>
    <row r="19" spans="1:6" x14ac:dyDescent="0.3">
      <c r="A19" s="18" t="s">
        <v>210</v>
      </c>
      <c r="B19">
        <f>'2Artificialillumination_Dark_sk'!D2</f>
        <v>31</v>
      </c>
      <c r="C19">
        <f>'2Artificialillumination_Dark_sk'!D3</f>
        <v>27.5</v>
      </c>
      <c r="D19">
        <f>'2Artificialillumination_Dark_sk'!D4</f>
        <v>25</v>
      </c>
      <c r="E19">
        <f>'2Artificialillumination_Dark_sk'!D5</f>
        <v>24.5</v>
      </c>
      <c r="F19">
        <f>'2Artificialillumination_Dark_sk'!D6</f>
        <v>23.8</v>
      </c>
    </row>
    <row r="22" spans="1:6" x14ac:dyDescent="0.3">
      <c r="A22" s="19" t="s">
        <v>184</v>
      </c>
      <c r="B22">
        <f>AVERAGE(B2:B19)</f>
        <v>31.261111111111113</v>
      </c>
      <c r="C22">
        <f>AVERAGE(C2:C19)</f>
        <v>27.977777777777778</v>
      </c>
      <c r="D22">
        <f>AVERAGE(D2:D19)</f>
        <v>26.561111111111114</v>
      </c>
      <c r="E22">
        <f>AVERAGE(E2:E19)</f>
        <v>25.538888888888888</v>
      </c>
      <c r="F22">
        <f>AVERAGE(F2:F19)</f>
        <v>24.797222222222224</v>
      </c>
    </row>
    <row r="23" spans="1:6" x14ac:dyDescent="0.3">
      <c r="A23" s="1"/>
    </row>
    <row r="24" spans="1:6" x14ac:dyDescent="0.3">
      <c r="A24" s="1" t="s">
        <v>119</v>
      </c>
      <c r="B24">
        <f>_xlfn.STDEV.S(B2:B19)</f>
        <v>1.3919469601494452</v>
      </c>
      <c r="C24">
        <f>_xlfn.STDEV.S(C2:C19)</f>
        <v>2.246187765331336</v>
      </c>
      <c r="D24">
        <f>_xlfn.STDEV.S(D2:D19)</f>
        <v>2.5663292367960091</v>
      </c>
      <c r="E24">
        <f>_xlfn.STDEV.S(E2:E19)</f>
        <v>2.6538293949529534</v>
      </c>
      <c r="F24">
        <f>_xlfn.STDEV.S(F2:F19)</f>
        <v>2.765622588252691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A568-9DD8-4D98-9797-0960D69C7A47}">
  <dimension ref="A1:J7"/>
  <sheetViews>
    <sheetView topLeftCell="B1" workbookViewId="0">
      <selection activeCell="M15" sqref="M15"/>
    </sheetView>
  </sheetViews>
  <sheetFormatPr defaultRowHeight="14.4" x14ac:dyDescent="0.3"/>
  <cols>
    <col min="2" max="2" width="19.77734375" customWidth="1"/>
    <col min="3" max="3" width="16" customWidth="1"/>
    <col min="4" max="4" width="18.33203125" customWidth="1"/>
    <col min="8" max="8" width="18.21875" customWidth="1"/>
    <col min="9" max="9" width="15.109375" customWidth="1"/>
    <col min="10" max="10" width="19" customWidth="1"/>
  </cols>
  <sheetData>
    <row r="1" spans="1:10" x14ac:dyDescent="0.3">
      <c r="A1" s="1"/>
      <c r="B1" s="1" t="s">
        <v>182</v>
      </c>
      <c r="C1" s="1"/>
      <c r="D1" s="1"/>
      <c r="E1" s="1"/>
      <c r="F1" s="1"/>
      <c r="G1" s="1"/>
      <c r="H1" s="1" t="s">
        <v>183</v>
      </c>
      <c r="I1" s="1"/>
      <c r="J1" s="1"/>
    </row>
    <row r="2" spans="1:10" x14ac:dyDescent="0.3">
      <c r="A2" s="1" t="str">
        <f>[1]Avarageateachdistance!A1</f>
        <v>Distance</v>
      </c>
      <c r="B2" s="1" t="str">
        <f>[1]Avarageateachdistance!B1</f>
        <v>Pimoroni MLX90640</v>
      </c>
      <c r="C2" s="1" t="str">
        <f>[1]Avarageateachdistance!C1</f>
        <v xml:space="preserve"> RS PRO T-10</v>
      </c>
      <c r="D2" s="1" t="str">
        <f>[1]Avarageateachdistance!D1</f>
        <v>Robotshop MLX90640</v>
      </c>
      <c r="E2" s="1"/>
      <c r="F2" s="1"/>
      <c r="G2" s="1" t="str">
        <f>[1]SDateachdiatnce!A1</f>
        <v>Distance</v>
      </c>
      <c r="H2" s="1" t="str">
        <f>[1]SDateachdiatnce!B1</f>
        <v>Pimoroni MLX90640</v>
      </c>
      <c r="I2" s="1" t="str">
        <f>[1]SDateachdiatnce!C1</f>
        <v xml:space="preserve"> RS PRO T-10</v>
      </c>
      <c r="J2" s="1" t="str">
        <f>[1]SDateachdiatnce!D1</f>
        <v>Robotshop MLX90640</v>
      </c>
    </row>
    <row r="3" spans="1:10" x14ac:dyDescent="0.3">
      <c r="A3" t="s">
        <v>94</v>
      </c>
      <c r="B3">
        <f>'Pimoroni MLX90640'!B21</f>
        <v>31.080555555555552</v>
      </c>
      <c r="C3">
        <f>'RS PRO T-10 '!B22</f>
        <v>30.255555555555556</v>
      </c>
      <c r="D3">
        <f>'RobotShop MLX90640'!B22</f>
        <v>31.261111111111113</v>
      </c>
      <c r="G3" t="s">
        <v>94</v>
      </c>
      <c r="H3">
        <f>'Pimoroni MLX90640'!B23</f>
        <v>2.0644140949808389</v>
      </c>
      <c r="I3">
        <f>'RS PRO T-10 '!B24</f>
        <v>0.5226878747197844</v>
      </c>
      <c r="J3">
        <f>'RobotShop MLX90640'!B24</f>
        <v>1.3919469601494452</v>
      </c>
    </row>
    <row r="4" spans="1:10" x14ac:dyDescent="0.3">
      <c r="A4" t="s">
        <v>95</v>
      </c>
      <c r="B4">
        <f>'Pimoroni MLX90640'!C21</f>
        <v>27.769444444444446</v>
      </c>
      <c r="C4">
        <f>'RS PRO T-10 '!C22</f>
        <v>29.149999999999995</v>
      </c>
      <c r="D4">
        <f>'RobotShop MLX90640'!C22</f>
        <v>27.977777777777778</v>
      </c>
      <c r="G4" t="s">
        <v>95</v>
      </c>
      <c r="H4">
        <f>'Pimoroni MLX90640'!C23</f>
        <v>2.7218688913020608</v>
      </c>
      <c r="I4">
        <f>'RS PRO T-10 '!C24</f>
        <v>0.56072432148595319</v>
      </c>
      <c r="J4">
        <f>'RobotShop MLX90640'!C24</f>
        <v>2.246187765331336</v>
      </c>
    </row>
    <row r="5" spans="1:10" x14ac:dyDescent="0.3">
      <c r="A5" t="s">
        <v>96</v>
      </c>
      <c r="B5">
        <f>'Pimoroni MLX90640'!D21</f>
        <v>26.383333333333336</v>
      </c>
      <c r="C5">
        <f>'RS PRO T-10 '!D22</f>
        <v>27.833333333333329</v>
      </c>
      <c r="D5">
        <f>'RobotShop MLX90640'!D22</f>
        <v>26.561111111111114</v>
      </c>
      <c r="G5" t="s">
        <v>96</v>
      </c>
      <c r="H5">
        <f>'Pimoroni MLX90640'!D23</f>
        <v>2.9382367661775679</v>
      </c>
      <c r="I5">
        <f>'RS PRO T-10 '!D24</f>
        <v>1.296601893638998</v>
      </c>
      <c r="J5">
        <f>'RobotShop MLX90640'!D24</f>
        <v>2.5663292367960091</v>
      </c>
    </row>
    <row r="6" spans="1:10" x14ac:dyDescent="0.3">
      <c r="A6" t="s">
        <v>97</v>
      </c>
      <c r="B6">
        <f>'Pimoroni MLX90640'!E21</f>
        <v>25.286111111111111</v>
      </c>
      <c r="C6">
        <f>'RS PRO T-10 '!E22</f>
        <v>26.744444444444444</v>
      </c>
      <c r="D6">
        <f>'RobotShop MLX90640'!E22</f>
        <v>25.538888888888888</v>
      </c>
      <c r="G6" t="s">
        <v>97</v>
      </c>
      <c r="H6">
        <f>'Pimoroni MLX90640'!E23</f>
        <v>3.2434007912699307</v>
      </c>
      <c r="I6">
        <f>'RS PRO T-10 '!E24</f>
        <v>1.313380112633596</v>
      </c>
      <c r="J6">
        <f>'RobotShop MLX90640'!E24</f>
        <v>2.6538293949529534</v>
      </c>
    </row>
    <row r="7" spans="1:10" x14ac:dyDescent="0.3">
      <c r="A7" t="s">
        <v>98</v>
      </c>
      <c r="B7">
        <f>'Pimoroni MLX90640'!F21</f>
        <v>24.497222222222224</v>
      </c>
      <c r="C7">
        <f>'RS PRO T-10 '!F22</f>
        <v>25.544444444444441</v>
      </c>
      <c r="D7">
        <f>'RobotShop MLX90640'!F22</f>
        <v>24.797222222222224</v>
      </c>
      <c r="G7" t="s">
        <v>98</v>
      </c>
      <c r="H7">
        <f>'Pimoroni MLX90640'!F23</f>
        <v>3.0779802498230246</v>
      </c>
      <c r="I7">
        <f>'RS PRO T-10 '!F24</f>
        <v>2.0260718941492275</v>
      </c>
      <c r="J7">
        <f>'RobotShop MLX90640'!F24</f>
        <v>2.765622588252691</v>
      </c>
    </row>
  </sheetData>
  <phoneticPr fontId="1" type="noConversion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3560-BC4B-4E80-9737-6F115253A1E9}">
  <dimension ref="A1"/>
  <sheetViews>
    <sheetView topLeftCell="C1" workbookViewId="0">
      <selection activeCell="V13" sqref="V13"/>
    </sheetView>
  </sheetViews>
  <sheetFormatPr defaultRowHeight="14.4" x14ac:dyDescent="0.3"/>
  <sheetData>
    <row r="1" spans="1:1" x14ac:dyDescent="0.3">
      <c r="A1" t="s">
        <v>215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C7BC-5AD5-4D0A-8D0F-D13512DC4314}">
  <dimension ref="A1"/>
  <sheetViews>
    <sheetView topLeftCell="B22" workbookViewId="0">
      <selection activeCell="U39" sqref="U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04D7-E2E1-4DDD-80C7-E0583912790E}">
  <dimension ref="A1"/>
  <sheetViews>
    <sheetView topLeftCell="D24" workbookViewId="0">
      <selection activeCell="W17" sqref="W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DC01-8B80-43E9-8A5C-C82B07615144}">
  <dimension ref="A1"/>
  <sheetViews>
    <sheetView tabSelected="1" workbookViewId="0">
      <selection activeCell="AB16" sqref="AB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D439-A96C-46DA-85EA-EBDBDAB85CF6}">
  <dimension ref="A1:F28"/>
  <sheetViews>
    <sheetView workbookViewId="0">
      <selection activeCell="B8" sqref="B8"/>
    </sheetView>
  </sheetViews>
  <sheetFormatPr defaultRowHeight="14.4" x14ac:dyDescent="0.3"/>
  <cols>
    <col min="1" max="1" width="116.44140625" customWidth="1"/>
  </cols>
  <sheetData>
    <row r="1" spans="1:6" x14ac:dyDescent="0.3">
      <c r="A1" t="str">
        <f>'Pimoroni MLX90640'!A1</f>
        <v>Pimoroni MLX90640 reading taken all cases</v>
      </c>
      <c r="B1" t="str">
        <f>'Pimoroni MLX90640'!B1</f>
        <v>1 Metre</v>
      </c>
      <c r="C1" t="str">
        <f>'Pimoroni MLX90640'!C1</f>
        <v>2 Metres</v>
      </c>
      <c r="D1" t="str">
        <f>'Pimoroni MLX90640'!D1</f>
        <v>3 Metres</v>
      </c>
      <c r="E1" t="str">
        <f>'Pimoroni MLX90640'!E1</f>
        <v>4 Metres</v>
      </c>
      <c r="F1" t="str">
        <f>'Pimoroni MLX90640'!F1</f>
        <v>5 Metres</v>
      </c>
    </row>
    <row r="2" spans="1:6" x14ac:dyDescent="0.3">
      <c r="A2" t="str">
        <f>'Pimoroni MLX90640'!A2</f>
        <v>Temperature reading from light skin with glasses on at random time intervals under artificial home illumination,  ambient temp at 26 degree celsius</v>
      </c>
      <c r="B2">
        <f>'Pimoroni MLX90640'!B2</f>
        <v>33.75</v>
      </c>
      <c r="C2">
        <f>'Pimoroni MLX90640'!C2</f>
        <v>31.5</v>
      </c>
      <c r="D2">
        <f>'Pimoroni MLX90640'!D2</f>
        <v>30.2</v>
      </c>
      <c r="E2">
        <f>'Pimoroni MLX90640'!E2</f>
        <v>29.5</v>
      </c>
      <c r="F2">
        <f>'Pimoroni MLX90640'!F2</f>
        <v>28.5</v>
      </c>
    </row>
    <row r="3" spans="1:6" x14ac:dyDescent="0.3">
      <c r="A3" t="str">
        <f>'Pimoroni MLX90640'!A3</f>
        <v>Temperature reading from light skin without glasses on at random time interval under artificial home illumination, ambient temp at 26 degree celsius</v>
      </c>
      <c r="B3">
        <f>'Pimoroni MLX90640'!B3</f>
        <v>32.5</v>
      </c>
      <c r="C3">
        <f>'Pimoroni MLX90640'!C3</f>
        <v>30.75</v>
      </c>
      <c r="D3">
        <f>'Pimoroni MLX90640'!D3</f>
        <v>29.7</v>
      </c>
      <c r="E3">
        <f>'Pimoroni MLX90640'!E3</f>
        <v>28.75</v>
      </c>
      <c r="F3">
        <f>'Pimoroni MLX90640'!F3</f>
        <v>24.1</v>
      </c>
    </row>
    <row r="4" spans="1:6" x14ac:dyDescent="0.3">
      <c r="A4" t="str">
        <f>'Pimoroni MLX90640'!A12</f>
        <v>Temperature reading from dark skin without glasses on at random time interval under artificial home illumination</v>
      </c>
      <c r="B4">
        <f>'Pimoroni MLX90640'!B12</f>
        <v>34.75</v>
      </c>
      <c r="C4">
        <f>'Pimoroni MLX90640'!C12</f>
        <v>32.25</v>
      </c>
      <c r="D4">
        <f>'Pimoroni MLX90640'!D12</f>
        <v>30.75</v>
      </c>
      <c r="E4">
        <f>'Pimoroni MLX90640'!E12</f>
        <v>30.25</v>
      </c>
      <c r="F4">
        <f>'Pimoroni MLX90640'!F12</f>
        <v>30</v>
      </c>
    </row>
    <row r="5" spans="1:6" x14ac:dyDescent="0.3">
      <c r="A5" t="str">
        <f>'Pimoroni MLX90640'!A13</f>
        <v>Temperature reading from dark skin with glasses on at random time interval under artificial home illumination</v>
      </c>
      <c r="B5">
        <f>'Pimoroni MLX90640'!B13</f>
        <v>34.5</v>
      </c>
      <c r="C5">
        <f>'Pimoroni MLX90640'!C13</f>
        <v>31.75</v>
      </c>
      <c r="D5">
        <f>'Pimoroni MLX90640'!D13</f>
        <v>30.5</v>
      </c>
      <c r="E5">
        <f>'Pimoroni MLX90640'!E13</f>
        <v>30.25</v>
      </c>
      <c r="F5">
        <f>'Pimoroni MLX90640'!F13</f>
        <v>29.75</v>
      </c>
    </row>
    <row r="7" spans="1:6" x14ac:dyDescent="0.3">
      <c r="A7" t="s">
        <v>184</v>
      </c>
      <c r="B7">
        <f>AVERAGE(B2:B5)</f>
        <v>33.875</v>
      </c>
      <c r="C7">
        <f>AVERAGE(C2:C5)</f>
        <v>31.5625</v>
      </c>
      <c r="D7">
        <f>AVERAGE(D2:D5)</f>
        <v>30.287500000000001</v>
      </c>
      <c r="E7">
        <f>AVERAGE(E2:E5)</f>
        <v>29.6875</v>
      </c>
      <c r="F7">
        <f>AVERAGE(F2:F5)</f>
        <v>28.087499999999999</v>
      </c>
    </row>
    <row r="8" spans="1:6" x14ac:dyDescent="0.3">
      <c r="A8" t="s">
        <v>216</v>
      </c>
      <c r="B8">
        <f>_xlfn.STDEV.P(B2:B5)</f>
        <v>0.875</v>
      </c>
      <c r="C8">
        <f>_xlfn.STDEV.P(C2:C5)</f>
        <v>0.54126587736527421</v>
      </c>
      <c r="D8">
        <f>_xlfn.STDEV.P(D2:D5)</f>
        <v>0.39111219617905069</v>
      </c>
      <c r="E8">
        <f>_xlfn.STDEV.P(E2:E5)</f>
        <v>0.62186714819163746</v>
      </c>
      <c r="F8">
        <f>_xlfn.STDEV.P(F2:F5)</f>
        <v>2.3712799813602774</v>
      </c>
    </row>
    <row r="14" spans="1:6" x14ac:dyDescent="0.3">
      <c r="A14" t="str">
        <f>'Pimoroni MLX90640'!A4</f>
        <v>Temperature reading from light skin under natural home illumination and low ambient temperature at 20 degree celsius</v>
      </c>
      <c r="B14">
        <f>'Pimoroni MLX90640'!B4</f>
        <v>32</v>
      </c>
      <c r="C14">
        <f>'Pimoroni MLX90640'!C4</f>
        <v>28.75</v>
      </c>
      <c r="D14">
        <f>'Pimoroni MLX90640'!D4</f>
        <v>27.8</v>
      </c>
      <c r="E14">
        <f>'Pimoroni MLX90640'!E4</f>
        <v>26.5</v>
      </c>
      <c r="F14">
        <f>'Pimoroni MLX90640'!F4</f>
        <v>25.2</v>
      </c>
    </row>
    <row r="15" spans="1:6" x14ac:dyDescent="0.3">
      <c r="A15" t="str">
        <f>'Pimoroni MLX90640'!A5</f>
        <v>Temperature reading from light skin under artificial home illumination and low ambient temperature at 20 degree celsius</v>
      </c>
      <c r="B15">
        <f>'Pimoroni MLX90640'!B5</f>
        <v>32.200000000000003</v>
      </c>
      <c r="C15">
        <f>'Pimoroni MLX90640'!C5</f>
        <v>30.5</v>
      </c>
      <c r="D15">
        <f>'Pimoroni MLX90640'!D5</f>
        <v>29.75</v>
      </c>
      <c r="E15">
        <f>'Pimoroni MLX90640'!E5</f>
        <v>28.75</v>
      </c>
      <c r="F15">
        <f>'Pimoroni MLX90640'!F5</f>
        <v>28.25</v>
      </c>
    </row>
    <row r="16" spans="1:6" x14ac:dyDescent="0.3">
      <c r="A16" t="str">
        <f>'Pimoroni MLX90640'!A14</f>
        <v>Temperature reading from Dark skin under natural home illumination and ambient temperature at 20 degrees celsisus</v>
      </c>
      <c r="B16">
        <f>'Pimoroni MLX90640'!B14</f>
        <v>32.75</v>
      </c>
      <c r="C16">
        <f>'Pimoroni MLX90640'!C14</f>
        <v>29.25</v>
      </c>
      <c r="D16">
        <f>'Pimoroni MLX90640'!D14</f>
        <v>28.25</v>
      </c>
      <c r="E16">
        <f>'Pimoroni MLX90640'!E14</f>
        <v>27.25</v>
      </c>
      <c r="F16">
        <f>'Pimoroni MLX90640'!F14</f>
        <v>27</v>
      </c>
    </row>
    <row r="17" spans="1:6" x14ac:dyDescent="0.3">
      <c r="A17" t="str">
        <f>'Pimoroni MLX90640'!A15</f>
        <v>Temperature reading from Dark skin under artificial home illumination and ambient temperature at 20 degrees celsisus</v>
      </c>
      <c r="B17">
        <f>'Pimoroni MLX90640'!B15</f>
        <v>32.5</v>
      </c>
      <c r="C17">
        <f>'Pimoroni MLX90640'!C15</f>
        <v>29.5</v>
      </c>
      <c r="D17">
        <f>'Pimoroni MLX90640'!D15</f>
        <v>28.75</v>
      </c>
      <c r="E17">
        <f>'Pimoroni MLX90640'!E15</f>
        <v>27.75</v>
      </c>
      <c r="F17">
        <f>'Pimoroni MLX90640'!F15</f>
        <v>26.75</v>
      </c>
    </row>
    <row r="19" spans="1:6" x14ac:dyDescent="0.3">
      <c r="A19" t="s">
        <v>186</v>
      </c>
      <c r="B19">
        <f>AVERAGE(B14:B17)</f>
        <v>32.362499999999997</v>
      </c>
      <c r="C19">
        <f t="shared" ref="C19:F19" si="0">AVERAGE(C14:C17)</f>
        <v>29.5</v>
      </c>
      <c r="D19">
        <f t="shared" si="0"/>
        <v>28.637499999999999</v>
      </c>
      <c r="E19">
        <f t="shared" si="0"/>
        <v>27.5625</v>
      </c>
      <c r="F19">
        <f t="shared" si="0"/>
        <v>26.8</v>
      </c>
    </row>
    <row r="20" spans="1:6" x14ac:dyDescent="0.3">
      <c r="A20" t="s">
        <v>216</v>
      </c>
      <c r="B20">
        <f>_xlfn.STDEV.P(B14:B17)</f>
        <v>0.28586491565073141</v>
      </c>
      <c r="C20">
        <f t="shared" ref="C20:F20" si="1">_xlfn.STDEV.P(C14:C17)</f>
        <v>0.63737743919909806</v>
      </c>
      <c r="D20">
        <f t="shared" si="1"/>
        <v>0.72489223336989872</v>
      </c>
      <c r="E20">
        <f t="shared" si="1"/>
        <v>0.81729355191387631</v>
      </c>
      <c r="F20">
        <f t="shared" si="1"/>
        <v>1.0845505981741934</v>
      </c>
    </row>
    <row r="22" spans="1:6" x14ac:dyDescent="0.3">
      <c r="A22" t="str">
        <f>'Pimoroni MLX90640'!A6</f>
        <v>Natural illumination, light skin ambient temp at 16 degrees celsius</v>
      </c>
      <c r="B22">
        <f>'Pimoroni MLX90640'!B6</f>
        <v>30.1</v>
      </c>
      <c r="C22">
        <f>'Pimoroni MLX90640'!C6</f>
        <v>25.1</v>
      </c>
      <c r="D22">
        <f>'Pimoroni MLX90640'!D6</f>
        <v>23</v>
      </c>
      <c r="E22">
        <f>'Pimoroni MLX90640'!E6</f>
        <v>22</v>
      </c>
      <c r="F22">
        <f>'Pimoroni MLX90640'!F6</f>
        <v>21</v>
      </c>
    </row>
    <row r="23" spans="1:6" x14ac:dyDescent="0.3">
      <c r="A23" t="str">
        <f>'Pimoroni MLX90640'!A7</f>
        <v>Artificial Illumination,Light skin , ambient temp at 16 degree celsius</v>
      </c>
      <c r="B23">
        <f>'Pimoroni MLX90640'!B7</f>
        <v>28.1</v>
      </c>
      <c r="C23">
        <f>'Pimoroni MLX90640'!C7</f>
        <v>24.5</v>
      </c>
      <c r="D23">
        <f>'Pimoroni MLX90640'!D7</f>
        <v>23.5</v>
      </c>
      <c r="E23">
        <f>'Pimoroni MLX90640'!E7</f>
        <v>22</v>
      </c>
      <c r="F23">
        <f>'Pimoroni MLX90640'!F7</f>
        <v>22</v>
      </c>
    </row>
    <row r="24" spans="1:6" x14ac:dyDescent="0.3">
      <c r="A24" t="str">
        <f>'Pimoroni MLX90640'!A17</f>
        <v>Natural Illumination, dark skin, without Glasses, ambient temp at 16 degrees celsius</v>
      </c>
      <c r="B24">
        <f>'Pimoroni MLX90640'!B17</f>
        <v>29.7</v>
      </c>
      <c r="C24">
        <f>'Pimoroni MLX90640'!C17</f>
        <v>25.7</v>
      </c>
      <c r="D24">
        <f>'Pimoroni MLX90640'!D17</f>
        <v>23.8</v>
      </c>
      <c r="E24">
        <f>'Pimoroni MLX90640'!E17</f>
        <v>21.8</v>
      </c>
      <c r="F24">
        <f>'Pimoroni MLX90640'!F17</f>
        <v>21.5</v>
      </c>
    </row>
    <row r="25" spans="1:6" x14ac:dyDescent="0.3">
      <c r="A25" t="str">
        <f>'Pimoroni MLX90640'!A18</f>
        <v>Artificial illumination Dark skin with glass  , ambient temp at 16 degrees celsius</v>
      </c>
      <c r="B25">
        <f>'Pimoroni MLX90640'!B18</f>
        <v>29</v>
      </c>
      <c r="C25">
        <f>'Pimoroni MLX90640'!C18</f>
        <v>26.5</v>
      </c>
      <c r="D25">
        <f>'Pimoroni MLX90640'!D18</f>
        <v>24</v>
      </c>
      <c r="E25">
        <f>'Pimoroni MLX90640'!E18</f>
        <v>23</v>
      </c>
      <c r="F25">
        <f>'Pimoroni MLX90640'!F18</f>
        <v>22.8</v>
      </c>
    </row>
    <row r="27" spans="1:6" x14ac:dyDescent="0.3">
      <c r="A27" t="s">
        <v>186</v>
      </c>
      <c r="B27">
        <f>AVERAGE(B22:B25)</f>
        <v>29.225000000000001</v>
      </c>
      <c r="C27">
        <f t="shared" ref="C27:F27" si="2">AVERAGE(C22:C25)</f>
        <v>25.45</v>
      </c>
      <c r="D27">
        <f t="shared" si="2"/>
        <v>23.574999999999999</v>
      </c>
      <c r="E27">
        <f t="shared" si="2"/>
        <v>22.2</v>
      </c>
      <c r="F27">
        <f t="shared" si="2"/>
        <v>21.824999999999999</v>
      </c>
    </row>
    <row r="28" spans="1:6" x14ac:dyDescent="0.3">
      <c r="A28" t="s">
        <v>216</v>
      </c>
      <c r="B28">
        <f>_xlfn.STDEV.P(B22:B25)</f>
        <v>0.75952287654816542</v>
      </c>
      <c r="C28">
        <f t="shared" ref="C28:F28" si="3">_xlfn.STDEV.P(C22:C25)</f>
        <v>0.73993242934743686</v>
      </c>
      <c r="D28">
        <f t="shared" si="3"/>
        <v>0.3766629793329842</v>
      </c>
      <c r="E28">
        <f t="shared" si="3"/>
        <v>0.46904157598234281</v>
      </c>
      <c r="F28">
        <f t="shared" si="3"/>
        <v>0.66473679001541686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BCA2-7796-4C04-9B6C-C068D6A4DF00}">
  <dimension ref="A1:J7"/>
  <sheetViews>
    <sheetView workbookViewId="0">
      <selection activeCell="F7" sqref="F7"/>
    </sheetView>
  </sheetViews>
  <sheetFormatPr defaultRowHeight="14.4" x14ac:dyDescent="0.3"/>
  <cols>
    <col min="2" max="2" width="19.5546875" customWidth="1"/>
    <col min="3" max="3" width="18.5546875" customWidth="1"/>
    <col min="4" max="4" width="24.88671875" customWidth="1"/>
    <col min="6" max="6" width="14.77734375" customWidth="1"/>
    <col min="7" max="7" width="11.5546875" customWidth="1"/>
    <col min="8" max="8" width="19.109375" customWidth="1"/>
    <col min="9" max="9" width="20" customWidth="1"/>
    <col min="10" max="10" width="18.88671875" customWidth="1"/>
  </cols>
  <sheetData>
    <row r="1" spans="1:10" x14ac:dyDescent="0.3">
      <c r="A1" s="1" t="s">
        <v>217</v>
      </c>
      <c r="B1" s="1"/>
      <c r="C1" s="1"/>
      <c r="D1" s="1"/>
      <c r="E1" s="1"/>
      <c r="F1" s="1"/>
      <c r="G1" s="1" t="s">
        <v>221</v>
      </c>
      <c r="H1" s="1"/>
      <c r="I1" s="1"/>
    </row>
    <row r="2" spans="1:10" x14ac:dyDescent="0.3">
      <c r="A2" s="1" t="str">
        <f>[1]Avarageateachdistance!A1</f>
        <v>Distance</v>
      </c>
      <c r="B2" s="1" t="s">
        <v>226</v>
      </c>
      <c r="C2" s="1" t="s">
        <v>227</v>
      </c>
      <c r="D2" s="1" t="s">
        <v>228</v>
      </c>
      <c r="E2" s="1"/>
      <c r="F2" s="1"/>
      <c r="G2" s="1" t="s">
        <v>92</v>
      </c>
      <c r="H2" s="1" t="s">
        <v>218</v>
      </c>
      <c r="I2" s="1" t="s">
        <v>219</v>
      </c>
      <c r="J2" s="1" t="s">
        <v>220</v>
      </c>
    </row>
    <row r="3" spans="1:10" x14ac:dyDescent="0.3">
      <c r="A3">
        <v>1</v>
      </c>
      <c r="B3">
        <f>'MLX-P'!B7</f>
        <v>33.875</v>
      </c>
      <c r="C3">
        <f>'MLX-P'!B19</f>
        <v>32.362499999999997</v>
      </c>
      <c r="D3">
        <f>'MLX-P'!B27</f>
        <v>29.225000000000001</v>
      </c>
      <c r="G3">
        <v>1</v>
      </c>
      <c r="H3">
        <f>'MLX-P'!B8</f>
        <v>0.875</v>
      </c>
      <c r="I3">
        <f>'MLX-P'!B20</f>
        <v>0.28586491565073141</v>
      </c>
      <c r="J3">
        <f>'MLX-P'!B28</f>
        <v>0.75952287654816542</v>
      </c>
    </row>
    <row r="4" spans="1:10" x14ac:dyDescent="0.3">
      <c r="A4">
        <v>2</v>
      </c>
      <c r="B4">
        <f>'MLX-P'!C7</f>
        <v>31.5625</v>
      </c>
      <c r="C4">
        <f>'MLX-P'!C19</f>
        <v>29.5</v>
      </c>
      <c r="D4">
        <f>'MLX-P'!C27</f>
        <v>25.45</v>
      </c>
      <c r="G4">
        <v>2</v>
      </c>
      <c r="H4">
        <f>'MLX-P'!C8</f>
        <v>0.54126587736527421</v>
      </c>
      <c r="I4">
        <f>'MLX-P'!C20</f>
        <v>0.63737743919909806</v>
      </c>
      <c r="J4">
        <f>'MLX-P'!C28</f>
        <v>0.73993242934743686</v>
      </c>
    </row>
    <row r="5" spans="1:10" x14ac:dyDescent="0.3">
      <c r="A5">
        <v>3</v>
      </c>
      <c r="B5">
        <f>'MLX-P'!D7</f>
        <v>30.287500000000001</v>
      </c>
      <c r="C5">
        <f>'MLX-P'!D19</f>
        <v>28.637499999999999</v>
      </c>
      <c r="D5">
        <f>'MLX-P'!D27</f>
        <v>23.574999999999999</v>
      </c>
      <c r="G5">
        <v>3</v>
      </c>
      <c r="H5">
        <f>'MLX-P'!D8</f>
        <v>0.39111219617905069</v>
      </c>
      <c r="I5">
        <f>'MLX-P'!D20</f>
        <v>0.72489223336989872</v>
      </c>
      <c r="J5">
        <f>'MLX-P'!D28</f>
        <v>0.3766629793329842</v>
      </c>
    </row>
    <row r="6" spans="1:10" x14ac:dyDescent="0.3">
      <c r="A6">
        <v>4</v>
      </c>
      <c r="B6">
        <f>'MLX-P'!E7</f>
        <v>29.6875</v>
      </c>
      <c r="C6">
        <f>'MLX-P'!E19</f>
        <v>27.5625</v>
      </c>
      <c r="D6">
        <f>'MLX-P'!E27</f>
        <v>22.2</v>
      </c>
      <c r="G6">
        <v>4</v>
      </c>
      <c r="H6">
        <f>'MLX-P'!E8</f>
        <v>0.62186714819163746</v>
      </c>
      <c r="I6">
        <f>'MLX-P'!E20</f>
        <v>0.81729355191387631</v>
      </c>
      <c r="J6">
        <f>'MLX-P'!E28</f>
        <v>0.46904157598234281</v>
      </c>
    </row>
    <row r="7" spans="1:10" x14ac:dyDescent="0.3">
      <c r="A7">
        <v>5</v>
      </c>
      <c r="B7">
        <f>'MLX-P'!F7</f>
        <v>28.087499999999999</v>
      </c>
      <c r="C7">
        <f>'MLX-P'!F19</f>
        <v>26.8</v>
      </c>
      <c r="D7">
        <f>'MLX-P'!F27</f>
        <v>21.824999999999999</v>
      </c>
      <c r="G7">
        <v>5</v>
      </c>
      <c r="H7">
        <f>'MLX-P'!F8</f>
        <v>2.3712799813602774</v>
      </c>
      <c r="I7">
        <f>'MLX-P'!F20</f>
        <v>1.0845505981741934</v>
      </c>
      <c r="J7">
        <f>'MLX-P'!F28</f>
        <v>0.66473679001541686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1ACB-6497-43FF-BF00-C3841CC025E9}">
  <dimension ref="A1:F27"/>
  <sheetViews>
    <sheetView workbookViewId="0"/>
  </sheetViews>
  <sheetFormatPr defaultRowHeight="14.4" x14ac:dyDescent="0.3"/>
  <cols>
    <col min="1" max="1" width="115.44140625" customWidth="1"/>
  </cols>
  <sheetData>
    <row r="1" spans="1:6" x14ac:dyDescent="0.3">
      <c r="A1" t="str">
        <f>'RS PRO T-10 '!A1</f>
        <v>RS PRO T-10  reading taken all cases</v>
      </c>
      <c r="B1" t="str">
        <f>'RS PRO T-10 '!B1</f>
        <v>1 Metre</v>
      </c>
      <c r="C1" t="str">
        <f>'RS PRO T-10 '!C1</f>
        <v>2 Metres</v>
      </c>
      <c r="D1" t="str">
        <f>'RS PRO T-10 '!D1</f>
        <v>3 Metres</v>
      </c>
      <c r="E1" t="str">
        <f>'RS PRO T-10 '!E1</f>
        <v>4 Metres</v>
      </c>
      <c r="F1" t="str">
        <f>'RS PRO T-10 '!F1</f>
        <v>5 Metres</v>
      </c>
    </row>
    <row r="2" spans="1:6" x14ac:dyDescent="0.3">
      <c r="A2" t="str">
        <f>'RS PRO T-10 '!A2</f>
        <v>Temperature reading from light skin with glasses on at random time intervals under artificial home illumination,  ambient temp at 26 degree celsius</v>
      </c>
      <c r="B2">
        <f>'RS PRO T-10 '!B2</f>
        <v>30.3</v>
      </c>
      <c r="C2">
        <f>'RS PRO T-10 '!C2</f>
        <v>29.3</v>
      </c>
      <c r="D2">
        <f>'RS PRO T-10 '!D2</f>
        <v>28.8</v>
      </c>
      <c r="E2">
        <f>'RS PRO T-10 '!E2</f>
        <v>28.3</v>
      </c>
      <c r="F2">
        <f>'RS PRO T-10 '!F2</f>
        <v>28</v>
      </c>
    </row>
    <row r="3" spans="1:6" x14ac:dyDescent="0.3">
      <c r="A3" t="str">
        <f>'RS PRO T-10 '!A3</f>
        <v>Temperature reading from light skin without glasses on at random time interval under artificial home illumination, ambient temp at 26 degree celsius</v>
      </c>
      <c r="B3">
        <f>'RS PRO T-10 '!B3</f>
        <v>29.8</v>
      </c>
      <c r="C3">
        <f>'RS PRO T-10 '!C3</f>
        <v>28.2</v>
      </c>
      <c r="D3">
        <f>'RS PRO T-10 '!D3</f>
        <v>25.9</v>
      </c>
      <c r="E3">
        <f>'RS PRO T-10 '!E3</f>
        <v>25.2</v>
      </c>
      <c r="F3">
        <f>'RS PRO T-10 '!F3</f>
        <v>20.2</v>
      </c>
    </row>
    <row r="4" spans="1:6" x14ac:dyDescent="0.3">
      <c r="A4" t="str">
        <f>'RS PRO T-10 '!A12</f>
        <v>Temperature reading from dark skin without glasses on at random time interval under artificial home illumination</v>
      </c>
      <c r="B4">
        <f>'RS PRO T-10 '!B12</f>
        <v>30.1</v>
      </c>
      <c r="C4">
        <f>'RS PRO T-10 '!C12</f>
        <v>28.4</v>
      </c>
      <c r="D4">
        <f>'RS PRO T-10 '!D12</f>
        <v>28.7</v>
      </c>
      <c r="E4">
        <f>'RS PRO T-10 '!E12</f>
        <v>25.3</v>
      </c>
      <c r="F4">
        <f>'RS PRO T-10 '!F12</f>
        <v>25</v>
      </c>
    </row>
    <row r="5" spans="1:6" x14ac:dyDescent="0.3">
      <c r="A5" t="str">
        <f>'RS PRO T-10 '!A13</f>
        <v>Temperature reading from dark skin with glasses on at random time interval under artificial home illumination</v>
      </c>
      <c r="B5">
        <f>'RS PRO T-10 '!B13</f>
        <v>30.4</v>
      </c>
      <c r="C5">
        <f>'RS PRO T-10 '!C13</f>
        <v>29.9</v>
      </c>
      <c r="D5">
        <f>'RS PRO T-10 '!D13</f>
        <v>28.7</v>
      </c>
      <c r="E5">
        <f>'RS PRO T-10 '!E13</f>
        <v>27.7</v>
      </c>
      <c r="F5">
        <f>'RS PRO T-10 '!F13</f>
        <v>25.7</v>
      </c>
    </row>
    <row r="7" spans="1:6" x14ac:dyDescent="0.3">
      <c r="A7" t="s">
        <v>186</v>
      </c>
      <c r="B7">
        <f>AVERAGE(B2:B5)</f>
        <v>30.15</v>
      </c>
      <c r="C7">
        <f>AVERAGE(C2:C5)</f>
        <v>28.950000000000003</v>
      </c>
      <c r="D7">
        <f>AVERAGE(D2:D5)</f>
        <v>28.025000000000002</v>
      </c>
      <c r="E7">
        <f>AVERAGE(E2:E5)</f>
        <v>26.625</v>
      </c>
      <c r="F7">
        <f>AVERAGE(F2:F5)</f>
        <v>24.725000000000001</v>
      </c>
    </row>
    <row r="8" spans="1:6" x14ac:dyDescent="0.3">
      <c r="A8" t="s">
        <v>216</v>
      </c>
      <c r="B8">
        <f>_xlfn.STDEV.P(B2:B5)</f>
        <v>0.22912878474779139</v>
      </c>
      <c r="C8">
        <f>_xlfn.STDEV.P(C2:C5)</f>
        <v>0.68738635424337602</v>
      </c>
      <c r="D8">
        <f>_xlfn.STDEV.P(D2:D5)</f>
        <v>1.2275483697190923</v>
      </c>
      <c r="E8">
        <f>_xlfn.STDEV.P(E2:E5)</f>
        <v>1.3917165659716781</v>
      </c>
      <c r="F8">
        <f>_xlfn.STDEV.P(F2:F5)</f>
        <v>2.8384634928073105</v>
      </c>
    </row>
    <row r="12" spans="1:6" x14ac:dyDescent="0.3">
      <c r="A12" t="str">
        <f>'RS PRO T-10 '!A4</f>
        <v>Temperature reading from light skin under natural home illumination and low ambient temperature at 20 degree celsius</v>
      </c>
      <c r="B12">
        <f>'RS PRO T-10 '!B4</f>
        <v>31.6</v>
      </c>
      <c r="C12">
        <f>'RS PRO T-10 '!C4</f>
        <v>30</v>
      </c>
      <c r="D12">
        <f>'RS PRO T-10 '!D4</f>
        <v>29</v>
      </c>
      <c r="E12">
        <f>'RS PRO T-10 '!E4</f>
        <v>28.2</v>
      </c>
      <c r="F12">
        <f>'RS PRO T-10 '!F4</f>
        <v>27.5</v>
      </c>
    </row>
    <row r="13" spans="1:6" x14ac:dyDescent="0.3">
      <c r="A13" t="str">
        <f>'RS PRO T-10 '!A5</f>
        <v>Temperature reading from light skin under artificial home illumination and low ambient temperature at 20 degree celsius</v>
      </c>
      <c r="B13">
        <f>'RS PRO T-10 '!B5</f>
        <v>30.1</v>
      </c>
      <c r="C13">
        <f>'RS PRO T-10 '!C5</f>
        <v>30</v>
      </c>
      <c r="D13">
        <f>'RS PRO T-10 '!D5</f>
        <v>28.8</v>
      </c>
      <c r="E13">
        <f>'RS PRO T-10 '!E5</f>
        <v>27.5</v>
      </c>
      <c r="F13">
        <f>'RS PRO T-10 '!F5</f>
        <v>27.4</v>
      </c>
    </row>
    <row r="14" spans="1:6" x14ac:dyDescent="0.3">
      <c r="A14" t="str">
        <f>'RS PRO T-10 '!A14</f>
        <v>Temperature reading from Dark skin under natural home illumination and ambient temperature at 20 degrees celsius</v>
      </c>
      <c r="B14">
        <f>'RS PRO T-10 '!B14</f>
        <v>30.9</v>
      </c>
      <c r="C14">
        <f>'RS PRO T-10 '!C14</f>
        <v>29.5</v>
      </c>
      <c r="D14">
        <f>'RS PRO T-10 '!D14</f>
        <v>28.8</v>
      </c>
      <c r="E14">
        <f>'RS PRO T-10 '!E14</f>
        <v>28.5</v>
      </c>
      <c r="F14">
        <f>'RS PRO T-10 '!F14</f>
        <v>28.5</v>
      </c>
    </row>
    <row r="15" spans="1:6" x14ac:dyDescent="0.3">
      <c r="A15" t="str">
        <f>'RS PRO T-10 '!A15</f>
        <v>Temperature reading from Dark skin under artificial home illumination and ambient temperature at 20 degrees celcius</v>
      </c>
      <c r="B15">
        <f>'RS PRO T-10 '!B15</f>
        <v>30.4</v>
      </c>
      <c r="C15">
        <f>'RS PRO T-10 '!C15</f>
        <v>29.6</v>
      </c>
      <c r="D15">
        <f>'RS PRO T-10 '!D15</f>
        <v>28</v>
      </c>
      <c r="E15">
        <f>'RS PRO T-10 '!E15</f>
        <v>26.2</v>
      </c>
      <c r="F15">
        <f>'RS PRO T-10 '!F15</f>
        <v>26.5</v>
      </c>
    </row>
    <row r="17" spans="1:6" x14ac:dyDescent="0.3">
      <c r="A17" t="s">
        <v>184</v>
      </c>
      <c r="B17">
        <f>AVERAGE(B12:B15)</f>
        <v>30.75</v>
      </c>
      <c r="C17">
        <f t="shared" ref="C17:F17" si="0">AVERAGE(C12:C15)</f>
        <v>29.774999999999999</v>
      </c>
      <c r="D17">
        <f t="shared" si="0"/>
        <v>28.65</v>
      </c>
      <c r="E17">
        <f t="shared" si="0"/>
        <v>27.6</v>
      </c>
      <c r="F17">
        <f t="shared" si="0"/>
        <v>27.475000000000001</v>
      </c>
    </row>
    <row r="18" spans="1:6" x14ac:dyDescent="0.3">
      <c r="A18" t="s">
        <v>216</v>
      </c>
      <c r="B18">
        <f>_xlfn.STDEV.P(B12:B15)</f>
        <v>0.56789083458002754</v>
      </c>
      <c r="C18">
        <f t="shared" ref="C18:F18" si="1">_xlfn.STDEV.P(C12:C15)</f>
        <v>0.2277608394786072</v>
      </c>
      <c r="D18">
        <f t="shared" si="1"/>
        <v>0.38405728739343054</v>
      </c>
      <c r="E18">
        <f t="shared" si="1"/>
        <v>0.88600225733346771</v>
      </c>
      <c r="F18">
        <f t="shared" si="1"/>
        <v>0.7084313657652378</v>
      </c>
    </row>
    <row r="21" spans="1:6" x14ac:dyDescent="0.3">
      <c r="A21" t="str">
        <f>'RS PRO T-10 '!A6</f>
        <v>Natural illumination, light skin ambient temp at 16 degrees celsius</v>
      </c>
      <c r="B21">
        <f>'RS PRO T-10 '!B6</f>
        <v>29.7</v>
      </c>
      <c r="C21">
        <f>'RS PRO T-10 '!C6</f>
        <v>29</v>
      </c>
      <c r="D21">
        <f>'RS PRO T-10 '!D6</f>
        <v>24</v>
      </c>
      <c r="E21">
        <f>'RS PRO T-10 '!E6</f>
        <v>24</v>
      </c>
      <c r="F21">
        <f>'RS PRO T-10 '!F6</f>
        <v>24</v>
      </c>
    </row>
    <row r="22" spans="1:6" x14ac:dyDescent="0.3">
      <c r="A22" t="str">
        <f>'RS PRO T-10 '!A7</f>
        <v>Artificial Illumination,Light skin , ambient temp at 16 degree celsius</v>
      </c>
      <c r="B22">
        <f>'RS PRO T-10 '!B7</f>
        <v>30.4</v>
      </c>
      <c r="C22">
        <f>'RS PRO T-10 '!C7</f>
        <v>29.2</v>
      </c>
      <c r="D22">
        <f>'RS PRO T-10 '!D7</f>
        <v>27.5</v>
      </c>
      <c r="E22">
        <f>'RS PRO T-10 '!E7</f>
        <v>26.2</v>
      </c>
      <c r="F22">
        <f>'RS PRO T-10 '!F7</f>
        <v>24.2</v>
      </c>
    </row>
    <row r="23" spans="1:6" x14ac:dyDescent="0.3">
      <c r="A23" t="str">
        <f>'RS PRO T-10 '!A17</f>
        <v>Natural Illumination, dark skin, without Glasses, ambient temp at 16 degrees celsius</v>
      </c>
      <c r="B23">
        <f>'RS PRO T-10 '!B17</f>
        <v>30</v>
      </c>
      <c r="C23">
        <f>'RS PRO T-10 '!C17</f>
        <v>29.8</v>
      </c>
      <c r="D23">
        <f>'RS PRO T-10 '!D17</f>
        <v>28.9</v>
      </c>
      <c r="E23">
        <f>'RS PRO T-10 '!E17</f>
        <v>27.3</v>
      </c>
      <c r="F23">
        <f>'RS PRO T-10 '!F17</f>
        <v>26.2</v>
      </c>
    </row>
    <row r="24" spans="1:6" x14ac:dyDescent="0.3">
      <c r="A24" t="str">
        <f>'RS PRO T-10 '!A18</f>
        <v>Artificial illumination Dark skin with glass  , ambient temp at 16 degrees celsius</v>
      </c>
      <c r="B24">
        <f>'RS PRO T-10 '!B18</f>
        <v>29.7</v>
      </c>
      <c r="C24">
        <f>'RS PRO T-10 '!C18</f>
        <v>28.7</v>
      </c>
      <c r="D24">
        <f>'RS PRO T-10 '!D18</f>
        <v>27.9</v>
      </c>
      <c r="E24">
        <f>'RS PRO T-10 '!E18</f>
        <v>26.3</v>
      </c>
      <c r="F24">
        <f>'RS PRO T-10 '!F18</f>
        <v>26.1</v>
      </c>
    </row>
    <row r="26" spans="1:6" x14ac:dyDescent="0.3">
      <c r="A26" t="s">
        <v>186</v>
      </c>
      <c r="B26">
        <f>AVERAGE(B21:B24)</f>
        <v>29.95</v>
      </c>
      <c r="C26">
        <f t="shared" ref="C26:F26" si="2">AVERAGE(C21:C24)</f>
        <v>29.175000000000001</v>
      </c>
      <c r="D26">
        <f t="shared" si="2"/>
        <v>27.075000000000003</v>
      </c>
      <c r="E26">
        <f t="shared" si="2"/>
        <v>25.95</v>
      </c>
      <c r="F26">
        <f t="shared" si="2"/>
        <v>25.125</v>
      </c>
    </row>
    <row r="27" spans="1:6" x14ac:dyDescent="0.3">
      <c r="A27" t="s">
        <v>216</v>
      </c>
      <c r="B27">
        <f>_xlfn.STDEV.P(B21:B24)</f>
        <v>0.2872281323269012</v>
      </c>
      <c r="C27">
        <f t="shared" ref="C27:F27" si="3">_xlfn.STDEV.P(C21:C24)</f>
        <v>0.40233692348577749</v>
      </c>
      <c r="D27">
        <f t="shared" si="3"/>
        <v>1.8471261462065869</v>
      </c>
      <c r="E27">
        <f t="shared" si="3"/>
        <v>1.2051970793193951</v>
      </c>
      <c r="F27">
        <f t="shared" si="3"/>
        <v>1.0280442597476047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8DE2-7349-4799-B8D4-DE31F5CE1A14}">
  <dimension ref="A1:J19"/>
  <sheetViews>
    <sheetView workbookViewId="0">
      <selection activeCell="J19" sqref="J19"/>
    </sheetView>
  </sheetViews>
  <sheetFormatPr defaultRowHeight="14.4" x14ac:dyDescent="0.3"/>
  <cols>
    <col min="1" max="1" width="7.77734375" customWidth="1"/>
    <col min="2" max="2" width="19.21875" customWidth="1"/>
    <col min="3" max="3" width="20.21875" customWidth="1"/>
    <col min="4" max="4" width="19.109375" customWidth="1"/>
    <col min="8" max="8" width="18.88671875" customWidth="1"/>
    <col min="9" max="9" width="19.77734375" customWidth="1"/>
    <col min="10" max="10" width="19.5546875" customWidth="1"/>
  </cols>
  <sheetData>
    <row r="1" spans="1:10" x14ac:dyDescent="0.3">
      <c r="A1" s="1" t="s">
        <v>222</v>
      </c>
      <c r="B1" s="1"/>
      <c r="C1" s="1"/>
      <c r="D1" s="1"/>
      <c r="E1" s="1"/>
      <c r="F1" s="1"/>
      <c r="G1" s="1" t="s">
        <v>223</v>
      </c>
      <c r="H1" s="1"/>
      <c r="I1" s="1"/>
    </row>
    <row r="2" spans="1:10" x14ac:dyDescent="0.3">
      <c r="A2" s="1" t="str">
        <f>[1]Avarageateachdistance!A1</f>
        <v>Distance</v>
      </c>
      <c r="B2" s="1" t="s">
        <v>229</v>
      </c>
      <c r="C2" s="1" t="s">
        <v>230</v>
      </c>
      <c r="D2" s="1" t="s">
        <v>231</v>
      </c>
      <c r="E2" s="1"/>
      <c r="F2" s="1"/>
      <c r="G2" s="1" t="s">
        <v>92</v>
      </c>
      <c r="H2" s="1" t="s">
        <v>218</v>
      </c>
      <c r="I2" s="1" t="s">
        <v>219</v>
      </c>
      <c r="J2" s="1" t="s">
        <v>220</v>
      </c>
    </row>
    <row r="3" spans="1:10" x14ac:dyDescent="0.3">
      <c r="A3">
        <v>1</v>
      </c>
      <c r="B3">
        <f>'RS_T-10'!B7</f>
        <v>30.15</v>
      </c>
      <c r="C3">
        <f>'RS_T-10'!B17</f>
        <v>30.75</v>
      </c>
      <c r="D3">
        <f>'RS_T-10'!B26</f>
        <v>29.95</v>
      </c>
      <c r="G3">
        <v>1</v>
      </c>
      <c r="H3">
        <f>'RS_T-10'!B8</f>
        <v>0.22912878474779139</v>
      </c>
      <c r="I3">
        <f>'RS_T-10'!B18</f>
        <v>0.56789083458002754</v>
      </c>
      <c r="J3">
        <f>'RS_T-10'!B27</f>
        <v>0.2872281323269012</v>
      </c>
    </row>
    <row r="4" spans="1:10" x14ac:dyDescent="0.3">
      <c r="A4">
        <v>2</v>
      </c>
      <c r="B4">
        <f>'RS_T-10'!C7</f>
        <v>28.950000000000003</v>
      </c>
      <c r="C4">
        <f>'RS_T-10'!C17</f>
        <v>29.774999999999999</v>
      </c>
      <c r="D4">
        <f>'RS_T-10'!C26</f>
        <v>29.175000000000001</v>
      </c>
      <c r="G4">
        <v>2</v>
      </c>
      <c r="H4">
        <f>'RS_T-10'!C8</f>
        <v>0.68738635424337602</v>
      </c>
      <c r="I4">
        <f>'RS_T-10'!C18</f>
        <v>0.2277608394786072</v>
      </c>
      <c r="J4">
        <f>'RS_T-10'!C27</f>
        <v>0.40233692348577749</v>
      </c>
    </row>
    <row r="5" spans="1:10" x14ac:dyDescent="0.3">
      <c r="A5">
        <v>3</v>
      </c>
      <c r="B5">
        <f>'RS_T-10'!D7</f>
        <v>28.025000000000002</v>
      </c>
      <c r="C5">
        <f>'RS_T-10'!D17</f>
        <v>28.65</v>
      </c>
      <c r="D5">
        <f>'RS_T-10'!D26</f>
        <v>27.075000000000003</v>
      </c>
      <c r="G5">
        <v>3</v>
      </c>
      <c r="H5">
        <f>'RS_T-10'!D8</f>
        <v>1.2275483697190923</v>
      </c>
      <c r="I5">
        <f>'RS_T-10'!D18</f>
        <v>0.38405728739343054</v>
      </c>
      <c r="J5">
        <f>'RS_T-10'!D27</f>
        <v>1.8471261462065869</v>
      </c>
    </row>
    <row r="6" spans="1:10" x14ac:dyDescent="0.3">
      <c r="A6">
        <v>4</v>
      </c>
      <c r="B6">
        <f>'RS_T-10'!E7</f>
        <v>26.625</v>
      </c>
      <c r="C6">
        <f>'RS_T-10'!E17</f>
        <v>27.6</v>
      </c>
      <c r="D6">
        <f>'RS_T-10'!E26</f>
        <v>25.95</v>
      </c>
      <c r="G6">
        <v>4</v>
      </c>
      <c r="H6">
        <f>'RS_T-10'!E8</f>
        <v>1.3917165659716781</v>
      </c>
      <c r="I6">
        <f>'RS_T-10'!E18</f>
        <v>0.88600225733346771</v>
      </c>
      <c r="J6">
        <f>'RS_T-10'!E27</f>
        <v>1.2051970793193951</v>
      </c>
    </row>
    <row r="7" spans="1:10" x14ac:dyDescent="0.3">
      <c r="A7">
        <v>5</v>
      </c>
      <c r="B7">
        <f>'RS_T-10'!F7</f>
        <v>24.725000000000001</v>
      </c>
      <c r="C7">
        <f>'RS_T-10'!F17</f>
        <v>27.475000000000001</v>
      </c>
      <c r="D7">
        <f>'RS_T-10'!F26</f>
        <v>25.125</v>
      </c>
      <c r="G7">
        <v>5</v>
      </c>
      <c r="H7">
        <f>'RS_T-10'!F8</f>
        <v>2.8384634928073105</v>
      </c>
      <c r="I7">
        <f>'RS_T-10'!F18</f>
        <v>0.7084313657652378</v>
      </c>
      <c r="J7">
        <f>'RS_T-10'!F27</f>
        <v>1.0280442597476047</v>
      </c>
    </row>
    <row r="19" spans="10:10" x14ac:dyDescent="0.3">
      <c r="J19" t="s">
        <v>235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8FC5-0747-431A-AC62-32A6F0148C1A}">
  <dimension ref="A1:F27"/>
  <sheetViews>
    <sheetView workbookViewId="0">
      <selection activeCell="A29" sqref="A29"/>
    </sheetView>
  </sheetViews>
  <sheetFormatPr defaultRowHeight="14.4" x14ac:dyDescent="0.3"/>
  <cols>
    <col min="1" max="1" width="115.21875" customWidth="1"/>
  </cols>
  <sheetData>
    <row r="1" spans="1:6" x14ac:dyDescent="0.3">
      <c r="A1" t="str">
        <f>'RobotShop MLX90640'!A1</f>
        <v>RobotShop MLX90640 reading taken all cases</v>
      </c>
      <c r="B1" t="str">
        <f>'RobotShop MLX90640'!B1</f>
        <v>1 Metre</v>
      </c>
      <c r="C1" t="str">
        <f>'RobotShop MLX90640'!C1</f>
        <v>2 Metres</v>
      </c>
      <c r="D1" t="str">
        <f>'RobotShop MLX90640'!D1</f>
        <v>3 Metres</v>
      </c>
      <c r="E1" t="str">
        <f>'RobotShop MLX90640'!E1</f>
        <v>4 Metres</v>
      </c>
      <c r="F1" t="str">
        <f>'RobotShop MLX90640'!F1</f>
        <v>5 Metres</v>
      </c>
    </row>
    <row r="2" spans="1:6" x14ac:dyDescent="0.3">
      <c r="A2" t="str">
        <f>'RobotShop MLX90640'!A2</f>
        <v>Temperature reading from light skin with glasses on at random time intervals under artificial home illumination,  ambient temp at 26 degree celsius</v>
      </c>
      <c r="B2">
        <f>'RobotShop MLX90640'!B2</f>
        <v>33.5</v>
      </c>
      <c r="C2">
        <f>'RobotShop MLX90640'!C2</f>
        <v>31.7</v>
      </c>
      <c r="D2">
        <f>'RobotShop MLX90640'!D2</f>
        <v>30</v>
      </c>
      <c r="E2">
        <f>'RobotShop MLX90640'!E2</f>
        <v>29</v>
      </c>
      <c r="F2">
        <f>'RobotShop MLX90640'!F2</f>
        <v>29</v>
      </c>
    </row>
    <row r="3" spans="1:6" x14ac:dyDescent="0.3">
      <c r="A3" t="str">
        <f>'RobotShop MLX90640'!A3</f>
        <v>Temperature reading from light skin without glasses on at random time interval under artificial home illumination, ambient temp at 26 degree celsius</v>
      </c>
      <c r="B3">
        <f>'RobotShop MLX90640'!B3</f>
        <v>32.5</v>
      </c>
      <c r="C3">
        <f>'RobotShop MLX90640'!C3</f>
        <v>30.5</v>
      </c>
      <c r="D3">
        <f>'RobotShop MLX90640'!D3</f>
        <v>30</v>
      </c>
      <c r="E3">
        <f>'RobotShop MLX90640'!E3</f>
        <v>29</v>
      </c>
      <c r="F3">
        <f>'RobotShop MLX90640'!F3</f>
        <v>24</v>
      </c>
    </row>
    <row r="4" spans="1:6" x14ac:dyDescent="0.3">
      <c r="A4" t="str">
        <f>'RobotShop MLX90640'!A12</f>
        <v>Temperature reading from dark skin without glasses on at random time interval under artificial home illumination, ambient temp 26 degree celsius</v>
      </c>
      <c r="B4">
        <f>'RobotShop MLX90640'!B12</f>
        <v>33.5</v>
      </c>
      <c r="C4">
        <f>'RobotShop MLX90640'!C12</f>
        <v>31.75</v>
      </c>
      <c r="D4">
        <f>'RobotShop MLX90640'!D12</f>
        <v>30.25</v>
      </c>
      <c r="E4">
        <f>'RobotShop MLX90640'!E12</f>
        <v>29.25</v>
      </c>
      <c r="F4">
        <f>'RobotShop MLX90640'!F12</f>
        <v>29.75</v>
      </c>
    </row>
    <row r="5" spans="1:6" x14ac:dyDescent="0.3">
      <c r="A5" t="str">
        <f>'RobotShop MLX90640'!A13</f>
        <v>Temperature reading from dark skin with glasses on at random time intervals under artificial home illumination, ambient temp 26 Celsius</v>
      </c>
      <c r="B5">
        <f>'RobotShop MLX90640'!B13</f>
        <v>33.25</v>
      </c>
      <c r="C5">
        <f>'RobotShop MLX90640'!C13</f>
        <v>31</v>
      </c>
      <c r="D5">
        <f>'RobotShop MLX90640'!D13</f>
        <v>30.25</v>
      </c>
      <c r="E5">
        <f>'RobotShop MLX90640'!E13</f>
        <v>29.75</v>
      </c>
      <c r="F5">
        <f>'RobotShop MLX90640'!F13</f>
        <v>29.75</v>
      </c>
    </row>
    <row r="7" spans="1:6" x14ac:dyDescent="0.3">
      <c r="A7" t="s">
        <v>184</v>
      </c>
      <c r="B7">
        <f>AVERAGE(B2:B5)</f>
        <v>33.1875</v>
      </c>
      <c r="C7">
        <f>AVERAGE(C2:C5)</f>
        <v>31.237500000000001</v>
      </c>
      <c r="D7">
        <f>AVERAGE(D2:D5)</f>
        <v>30.125</v>
      </c>
      <c r="E7">
        <f>AVERAGE(E2:E5)</f>
        <v>29.25</v>
      </c>
      <c r="F7">
        <f>AVERAGE(F2:F5)</f>
        <v>28.125</v>
      </c>
    </row>
    <row r="8" spans="1:6" x14ac:dyDescent="0.3">
      <c r="A8" t="s">
        <v>216</v>
      </c>
      <c r="B8">
        <f>_xlfn.STDEV.P(B2:B5)</f>
        <v>0.40983990776887502</v>
      </c>
      <c r="C8">
        <f>_xlfn.STDEV.P(C2:C5)</f>
        <v>0.51886293951293139</v>
      </c>
      <c r="D8">
        <f>_xlfn.STDEV.P(D2:D5)</f>
        <v>0.125</v>
      </c>
      <c r="E8">
        <f>_xlfn.STDEV.P(E2:E5)</f>
        <v>0.30618621784789724</v>
      </c>
      <c r="F8">
        <f>_xlfn.STDEV.P(F2:F5)</f>
        <v>2.4011715890373182</v>
      </c>
    </row>
    <row r="12" spans="1:6" x14ac:dyDescent="0.3">
      <c r="A12" t="str">
        <f>'RobotShop MLX90640'!A4</f>
        <v>Temperature reading from light skin under natural home illumination and low ambient temperature at 20 degree celsius</v>
      </c>
      <c r="B12">
        <f>'RobotShop MLX90640'!B4</f>
        <v>32</v>
      </c>
      <c r="C12">
        <f>'RobotShop MLX90640'!C4</f>
        <v>29</v>
      </c>
      <c r="D12">
        <f>'RobotShop MLX90640'!D4</f>
        <v>27.25</v>
      </c>
      <c r="E12">
        <f>'RobotShop MLX90640'!E4</f>
        <v>26.5</v>
      </c>
      <c r="F12">
        <f>'RobotShop MLX90640'!F4</f>
        <v>25</v>
      </c>
    </row>
    <row r="13" spans="1:6" x14ac:dyDescent="0.3">
      <c r="A13" t="str">
        <f>'RobotShop MLX90640'!A5</f>
        <v>Temperature reading from light skin under artificial home illumination and low ambient temperature at 20 degree celsius</v>
      </c>
      <c r="B13">
        <f>'RobotShop MLX90640'!B5</f>
        <v>31.5</v>
      </c>
      <c r="C13">
        <f>'RobotShop MLX90640'!C5</f>
        <v>29.25</v>
      </c>
      <c r="D13">
        <f>'RobotShop MLX90640'!D5</f>
        <v>28.5</v>
      </c>
      <c r="E13">
        <f>'RobotShop MLX90640'!E5</f>
        <v>28</v>
      </c>
      <c r="F13">
        <f>'RobotShop MLX90640'!F5</f>
        <v>27.5</v>
      </c>
    </row>
    <row r="14" spans="1:6" x14ac:dyDescent="0.3">
      <c r="A14" t="str">
        <f>'RobotShop MLX90640'!A14</f>
        <v>Temperature reading from Dark skin under natural home illumination and  ambient temperature at 20 degrees celsius</v>
      </c>
      <c r="B14">
        <f>'RobotShop MLX90640'!B14</f>
        <v>31.5</v>
      </c>
      <c r="C14">
        <f>'RobotShop MLX90640'!C14</f>
        <v>28.5</v>
      </c>
      <c r="D14">
        <f>'RobotShop MLX90640'!D14</f>
        <v>28.5</v>
      </c>
      <c r="E14">
        <f>'RobotShop MLX90640'!E14</f>
        <v>27</v>
      </c>
      <c r="F14">
        <f>'RobotShop MLX90640'!F14</f>
        <v>26.25</v>
      </c>
    </row>
    <row r="15" spans="1:6" x14ac:dyDescent="0.3">
      <c r="A15" t="str">
        <f>'RobotShop MLX90640'!A15</f>
        <v>Temperature reading from Dark skin under artificial home illumination and ambient temperature at 20 degree celsius</v>
      </c>
      <c r="B15">
        <f>'RobotShop MLX90640'!B15</f>
        <v>32.25</v>
      </c>
      <c r="C15">
        <f>'RobotShop MLX90640'!C15</f>
        <v>29.75</v>
      </c>
      <c r="D15">
        <f>'RobotShop MLX90640'!D15</f>
        <v>28.75</v>
      </c>
      <c r="E15">
        <f>'RobotShop MLX90640'!E15</f>
        <v>26.2</v>
      </c>
      <c r="F15">
        <f>'RobotShop MLX90640'!F15</f>
        <v>27</v>
      </c>
    </row>
    <row r="17" spans="1:6" x14ac:dyDescent="0.3">
      <c r="A17" t="s">
        <v>186</v>
      </c>
      <c r="B17">
        <f>AVERAGE(B12:B15)</f>
        <v>31.8125</v>
      </c>
      <c r="C17">
        <f t="shared" ref="C17:F17" si="0">AVERAGE(C12:C15)</f>
        <v>29.125</v>
      </c>
      <c r="D17">
        <f t="shared" si="0"/>
        <v>28.25</v>
      </c>
      <c r="E17">
        <f t="shared" si="0"/>
        <v>26.925000000000001</v>
      </c>
      <c r="F17">
        <f t="shared" si="0"/>
        <v>26.4375</v>
      </c>
    </row>
    <row r="18" spans="1:6" x14ac:dyDescent="0.3">
      <c r="A18" t="s">
        <v>216</v>
      </c>
      <c r="B18">
        <f>_xlfn.STDEV.P(B12:B15)</f>
        <v>0.3247595264191645</v>
      </c>
      <c r="C18">
        <f t="shared" ref="C18:F18" si="1">_xlfn.STDEV.P(C12:C15)</f>
        <v>0.45069390943299864</v>
      </c>
      <c r="D18">
        <f t="shared" si="1"/>
        <v>0.58630196997792872</v>
      </c>
      <c r="E18">
        <f t="shared" si="1"/>
        <v>0.68328251843582266</v>
      </c>
      <c r="F18">
        <f t="shared" si="1"/>
        <v>0.94165744833246023</v>
      </c>
    </row>
    <row r="21" spans="1:6" x14ac:dyDescent="0.3">
      <c r="A21" t="str">
        <f>'RobotShop MLX90640'!A6</f>
        <v>Natural illumination, light skin ambient temp at 16 degrees celsius</v>
      </c>
      <c r="B21">
        <f>'RobotShop MLX90640'!B6</f>
        <v>30</v>
      </c>
      <c r="C21">
        <f>'RobotShop MLX90640'!C6</f>
        <v>24.9</v>
      </c>
      <c r="D21">
        <f>'RobotShop MLX90640'!D6</f>
        <v>23</v>
      </c>
      <c r="E21">
        <f>'RobotShop MLX90640'!E6</f>
        <v>21</v>
      </c>
      <c r="F21">
        <f>'RobotShop MLX90640'!F6</f>
        <v>21</v>
      </c>
    </row>
    <row r="22" spans="1:6" x14ac:dyDescent="0.3">
      <c r="A22" t="str">
        <f>'RobotShop MLX90640'!A7</f>
        <v>Artificial Illumination,Light skin , ambient temp at 16 degree celsius</v>
      </c>
      <c r="B22">
        <f>'RobotShop MLX90640'!B7</f>
        <v>29</v>
      </c>
      <c r="C22">
        <f>'RobotShop MLX90640'!C7</f>
        <v>25.6</v>
      </c>
      <c r="D22">
        <f>'RobotShop MLX90640'!D7</f>
        <v>24</v>
      </c>
      <c r="E22">
        <f>'RobotShop MLX90640'!E7</f>
        <v>22.5</v>
      </c>
      <c r="F22">
        <f>'RobotShop MLX90640'!F7</f>
        <v>22</v>
      </c>
    </row>
    <row r="23" spans="1:6" x14ac:dyDescent="0.3">
      <c r="A23" t="str">
        <f>'RobotShop MLX90640'!A17</f>
        <v>Natural Illumination, dark skin, without Glasses, ambient temp at 16 degrees celsius</v>
      </c>
      <c r="B23">
        <f>'RobotShop MLX90640'!B17</f>
        <v>31.5</v>
      </c>
      <c r="C23">
        <f>'RobotShop MLX90640'!C17</f>
        <v>27</v>
      </c>
      <c r="D23">
        <f>'RobotShop MLX90640'!D17</f>
        <v>24.3</v>
      </c>
      <c r="E23">
        <f>'RobotShop MLX90640'!E17</f>
        <v>22.5</v>
      </c>
      <c r="F23">
        <f>'RobotShop MLX90640'!F17</f>
        <v>22</v>
      </c>
    </row>
    <row r="24" spans="1:6" x14ac:dyDescent="0.3">
      <c r="A24" t="str">
        <f>'RobotShop MLX90640'!A18</f>
        <v>Artificial illumination Dark skin with glass  , ambient temp at 16 degrees celsius</v>
      </c>
      <c r="B24">
        <f>'RobotShop MLX90640'!B18</f>
        <v>30</v>
      </c>
      <c r="C24">
        <f>'RobotShop MLX90640'!C18</f>
        <v>26.8</v>
      </c>
      <c r="D24">
        <f>'RobotShop MLX90640'!D18</f>
        <v>24.5</v>
      </c>
      <c r="E24">
        <f>'RobotShop MLX90640'!E18</f>
        <v>24.4</v>
      </c>
      <c r="F24">
        <f>'RobotShop MLX90640'!F18</f>
        <v>23</v>
      </c>
    </row>
    <row r="26" spans="1:6" x14ac:dyDescent="0.3">
      <c r="A26" t="s">
        <v>186</v>
      </c>
      <c r="B26">
        <f>AVERAGE(B21:B24)</f>
        <v>30.125</v>
      </c>
      <c r="C26">
        <f t="shared" ref="C26:F26" si="2">AVERAGE(C21:C24)</f>
        <v>26.074999999999999</v>
      </c>
      <c r="D26">
        <f t="shared" si="2"/>
        <v>23.95</v>
      </c>
      <c r="E26">
        <f t="shared" si="2"/>
        <v>22.6</v>
      </c>
      <c r="F26">
        <f t="shared" si="2"/>
        <v>22</v>
      </c>
    </row>
    <row r="27" spans="1:6" x14ac:dyDescent="0.3">
      <c r="A27" t="s">
        <v>216</v>
      </c>
      <c r="B27">
        <f>_xlfn.STDEV.P(B21:B24)</f>
        <v>0.8926785535678563</v>
      </c>
      <c r="C27">
        <f t="shared" ref="C27:F27" si="3">_xlfn.STDEV.P(C21:C24)</f>
        <v>0.86421930087218068</v>
      </c>
      <c r="D27">
        <f t="shared" si="3"/>
        <v>0.57662812973353994</v>
      </c>
      <c r="E27">
        <f t="shared" si="3"/>
        <v>1.2062338081814814</v>
      </c>
      <c r="F27">
        <f t="shared" si="3"/>
        <v>0.70710678118654757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A41B-0E76-486D-A22D-F655580FA544}">
  <dimension ref="A1:J7"/>
  <sheetViews>
    <sheetView workbookViewId="0">
      <selection activeCell="J13" sqref="J13"/>
    </sheetView>
  </sheetViews>
  <sheetFormatPr defaultRowHeight="14.4" x14ac:dyDescent="0.3"/>
  <cols>
    <col min="1" max="1" width="8.21875" customWidth="1"/>
    <col min="2" max="2" width="19.5546875" customWidth="1"/>
    <col min="3" max="3" width="20.33203125" customWidth="1"/>
    <col min="4" max="4" width="19.44140625" customWidth="1"/>
    <col min="8" max="8" width="18.44140625" customWidth="1"/>
    <col min="9" max="9" width="19.77734375" customWidth="1"/>
    <col min="10" max="10" width="18.77734375" customWidth="1"/>
  </cols>
  <sheetData>
    <row r="1" spans="1:10" x14ac:dyDescent="0.3">
      <c r="A1" s="1" t="s">
        <v>224</v>
      </c>
      <c r="B1" s="1"/>
      <c r="C1" s="1"/>
      <c r="D1" s="1"/>
      <c r="E1" s="1"/>
      <c r="F1" s="1"/>
      <c r="G1" s="1" t="s">
        <v>225</v>
      </c>
      <c r="H1" s="1"/>
      <c r="I1" s="1"/>
    </row>
    <row r="2" spans="1:10" x14ac:dyDescent="0.3">
      <c r="A2" s="1" t="str">
        <f>[1]Avarageateachdistance!A1</f>
        <v>Distance</v>
      </c>
      <c r="B2" s="1" t="s">
        <v>232</v>
      </c>
      <c r="C2" s="1" t="s">
        <v>233</v>
      </c>
      <c r="D2" s="1" t="s">
        <v>234</v>
      </c>
      <c r="E2" s="1"/>
      <c r="F2" s="1"/>
      <c r="G2" s="1" t="s">
        <v>92</v>
      </c>
      <c r="H2" s="1" t="s">
        <v>218</v>
      </c>
      <c r="I2" s="1" t="s">
        <v>219</v>
      </c>
      <c r="J2" s="1" t="s">
        <v>220</v>
      </c>
    </row>
    <row r="3" spans="1:10" x14ac:dyDescent="0.3">
      <c r="A3">
        <v>1</v>
      </c>
      <c r="B3">
        <f>'MLX-R'!B7</f>
        <v>33.1875</v>
      </c>
      <c r="C3">
        <f>'MLX-R'!B17</f>
        <v>31.8125</v>
      </c>
      <c r="D3">
        <f>'MLX-R'!B26</f>
        <v>30.125</v>
      </c>
      <c r="G3">
        <v>1</v>
      </c>
      <c r="H3">
        <f>'MLX-R'!B8</f>
        <v>0.40983990776887502</v>
      </c>
      <c r="I3">
        <f>'MLX-R'!B18</f>
        <v>0.3247595264191645</v>
      </c>
      <c r="J3">
        <f>'MLX-R'!B27</f>
        <v>0.8926785535678563</v>
      </c>
    </row>
    <row r="4" spans="1:10" x14ac:dyDescent="0.3">
      <c r="A4">
        <v>2</v>
      </c>
      <c r="B4">
        <f>'MLX-R'!C7</f>
        <v>31.237500000000001</v>
      </c>
      <c r="C4">
        <f>'MLX-R'!C17</f>
        <v>29.125</v>
      </c>
      <c r="D4">
        <f>'MLX-R'!C26</f>
        <v>26.074999999999999</v>
      </c>
      <c r="G4">
        <v>2</v>
      </c>
      <c r="H4">
        <f>'MLX-R'!C8</f>
        <v>0.51886293951293139</v>
      </c>
      <c r="I4">
        <f>'MLX-R'!C18</f>
        <v>0.45069390943299864</v>
      </c>
      <c r="J4">
        <f>'MLX-R'!C27</f>
        <v>0.86421930087218068</v>
      </c>
    </row>
    <row r="5" spans="1:10" x14ac:dyDescent="0.3">
      <c r="A5">
        <v>3</v>
      </c>
      <c r="B5">
        <f>'MLX-R'!D7</f>
        <v>30.125</v>
      </c>
      <c r="C5">
        <f>'MLX-R'!D17</f>
        <v>28.25</v>
      </c>
      <c r="D5">
        <f>'MLX-R'!D26</f>
        <v>23.95</v>
      </c>
      <c r="G5">
        <v>3</v>
      </c>
      <c r="H5">
        <f>'MLX-R'!D8</f>
        <v>0.125</v>
      </c>
      <c r="I5">
        <f>'MLX-R'!D18</f>
        <v>0.58630196997792872</v>
      </c>
      <c r="J5">
        <f>'MLX-R'!D27</f>
        <v>0.57662812973353994</v>
      </c>
    </row>
    <row r="6" spans="1:10" x14ac:dyDescent="0.3">
      <c r="A6">
        <v>4</v>
      </c>
      <c r="B6">
        <f>'MLX-R'!E7</f>
        <v>29.25</v>
      </c>
      <c r="C6">
        <f>'MLX-R'!E17</f>
        <v>26.925000000000001</v>
      </c>
      <c r="D6">
        <f>'MLX-R'!E26</f>
        <v>22.6</v>
      </c>
      <c r="G6">
        <v>4</v>
      </c>
      <c r="H6">
        <f>'MLX-R'!E8</f>
        <v>0.30618621784789724</v>
      </c>
      <c r="I6">
        <f>'MLX-R'!E18</f>
        <v>0.68328251843582266</v>
      </c>
      <c r="J6">
        <f>'MLX-R'!E27</f>
        <v>1.2062338081814814</v>
      </c>
    </row>
    <row r="7" spans="1:10" x14ac:dyDescent="0.3">
      <c r="A7">
        <v>5</v>
      </c>
      <c r="B7">
        <f>'MLX-R'!F7</f>
        <v>28.125</v>
      </c>
      <c r="C7">
        <f>'MLX-R'!F17</f>
        <v>26.4375</v>
      </c>
      <c r="D7">
        <f>'MLX-R'!F26</f>
        <v>22</v>
      </c>
      <c r="G7">
        <v>5</v>
      </c>
      <c r="H7">
        <f>'MLX-R'!F8</f>
        <v>2.4011715890373182</v>
      </c>
      <c r="I7">
        <f>'MLX-R'!F18</f>
        <v>0.94165744833246023</v>
      </c>
      <c r="J7">
        <f>'MLX-R'!F27</f>
        <v>0.70710678118654757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5608-1D7D-4B37-BD2B-DE24F154ECA8}">
  <dimension ref="A1"/>
  <sheetViews>
    <sheetView topLeftCell="A7" workbookViewId="0">
      <selection activeCell="J32" sqref="J3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Exp1_Tempreintervalof10mins_1</vt:lpstr>
      <vt:lpstr>Exp1_Tempreadintervalof2min_2</vt:lpstr>
      <vt:lpstr>Exp1_Tempreadingradomlypicked_3</vt:lpstr>
      <vt:lpstr>Exp1_bodydarkskinemissivity1_4</vt:lpstr>
      <vt:lpstr>Exp1_Bodydarkskinemissivity_5</vt:lpstr>
      <vt:lpstr>Exp1_bodylightskinemmisivity_6</vt:lpstr>
      <vt:lpstr>Exp1_bodylightskinemmisivity1_7</vt:lpstr>
      <vt:lpstr>Exp1_Lightskinlowtempnaturalh_8</vt:lpstr>
      <vt:lpstr>Exp1_Darkskinlowtempnaturalho_9</vt:lpstr>
      <vt:lpstr>Exp1_Darksknlowtepartificial_10</vt:lpstr>
      <vt:lpstr>Exp1_lghtsknlowtempartificia_11</vt:lpstr>
      <vt:lpstr>Exp1_CategoryofTempReadingfromP</vt:lpstr>
      <vt:lpstr>Exp1_CategoriesofTempreadingbyR</vt:lpstr>
      <vt:lpstr>Exp1_CategoriesofTempreadingRob</vt:lpstr>
      <vt:lpstr>Exp1_ RobotShpMLXMeanvarianceSD</vt:lpstr>
      <vt:lpstr>Exp1_RSPROT10MeanvarianceSD</vt:lpstr>
      <vt:lpstr>Exp1_PimoroniMLX90640MeanVrSD</vt:lpstr>
      <vt:lpstr>Exp1_averageforeachthermalcamra</vt:lpstr>
      <vt:lpstr>Exp1_VarianceateachThermalCamer</vt:lpstr>
      <vt:lpstr>Exp1_SDforeachThermalCamera</vt:lpstr>
      <vt:lpstr>Exp1_Average_SD</vt:lpstr>
      <vt:lpstr>Exp1_AV SD </vt:lpstr>
      <vt:lpstr>2Natutalillumination_light skin</vt:lpstr>
      <vt:lpstr>2NauralIllumination_dark_skinwg</vt:lpstr>
      <vt:lpstr>2NauralIllumination_darkskinwtg</vt:lpstr>
      <vt:lpstr>2ArtificialIllumination_Light_s</vt:lpstr>
      <vt:lpstr>2artificialilluminatn_dksknwG</vt:lpstr>
      <vt:lpstr>2Artificialillumination_Dark_sk</vt:lpstr>
      <vt:lpstr>2NatutalIlluminatn _ltsknwg</vt:lpstr>
      <vt:lpstr>2NatutalIlluminatn _ltsknwhgl</vt:lpstr>
      <vt:lpstr>2artificialillumintn_litsknwg</vt:lpstr>
      <vt:lpstr>2artificialillumintn_litsknwhgl</vt:lpstr>
      <vt:lpstr>readingdistancePimoroniMLX9064</vt:lpstr>
      <vt:lpstr>readingdistanceRSPROT-10</vt:lpstr>
      <vt:lpstr>readingdistnceRobotshopMLX90640</vt:lpstr>
      <vt:lpstr>Avarageateachdistance</vt:lpstr>
      <vt:lpstr>SDateachdiatnce</vt:lpstr>
      <vt:lpstr>Average_SD</vt:lpstr>
      <vt:lpstr>Pimoroni MLX90640</vt:lpstr>
      <vt:lpstr>RS PRO T-10 </vt:lpstr>
      <vt:lpstr>RobotShop MLX90640</vt:lpstr>
      <vt:lpstr>Avg_SD</vt:lpstr>
      <vt:lpstr>comparing_eyeglasses_graph</vt:lpstr>
      <vt:lpstr>Comparingbody_emissivity</vt:lpstr>
      <vt:lpstr>comparing_Illumination_source</vt:lpstr>
      <vt:lpstr>average 2 experiment at diff AT</vt:lpstr>
      <vt:lpstr>MLX-P</vt:lpstr>
      <vt:lpstr>AV_SD_MLX-P</vt:lpstr>
      <vt:lpstr>RS_T-10</vt:lpstr>
      <vt:lpstr>AV_SD_RS_T-10</vt:lpstr>
      <vt:lpstr>MLX-R</vt:lpstr>
      <vt:lpstr>AV_SD_MLX-R</vt:lpstr>
      <vt:lpstr>AV_MLX-P,R_T-10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 Alagbe</dc:creator>
  <cp:lastModifiedBy>oluwatobi Alagbe</cp:lastModifiedBy>
  <dcterms:created xsi:type="dcterms:W3CDTF">2024-08-16T07:23:05Z</dcterms:created>
  <dcterms:modified xsi:type="dcterms:W3CDTF">2025-12-09T16:30:45Z</dcterms:modified>
</cp:coreProperties>
</file>